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JANEIRO 2026" sheetId="1" state="visible" r:id="rId3"/>
    <sheet name="FEVEREIRO 2026" sheetId="2" state="visible" r:id="rId4"/>
  </sheets>
  <definedNames>
    <definedName function="false" hidden="true" localSheetId="1" name="_xlnm._FilterDatabase" vbProcedure="false">'FEVEREIRO 2026'!$A$7:$AI$196</definedName>
    <definedName function="false" hidden="true" localSheetId="0" name="_xlnm._FilterDatabase" vbProcedure="false">'JANEIRO 2026'!$A$7:$AH$197</definedName>
    <definedName function="false" hidden="false" name="_xlnm._FilterDataba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<sst xmlns="http://schemas.openxmlformats.org/spreadsheetml/2006/main" count="1900" uniqueCount="583">
  <si>
    <t xml:space="preserve">FEGOOW</t>
  </si>
  <si>
    <t xml:space="preserve">OK</t>
  </si>
  <si>
    <t xml:space="preserve">FATURAMENTO BRUTO</t>
  </si>
  <si>
    <t xml:space="preserve">TOTAL ENTRADAS:</t>
  </si>
  <si>
    <t xml:space="preserve">FATURAMENTO LÍQUIDO</t>
  </si>
  <si>
    <t xml:space="preserve">TOTAL TRATAMENTO</t>
  </si>
  <si>
    <t xml:space="preserve">Fluxo de caixa = Dinheiro que entrou e saiu de verdade</t>
  </si>
  <si>
    <t xml:space="preserve">AVALIAÇÃO</t>
  </si>
  <si>
    <t xml:space="preserve">DESCONTO </t>
  </si>
  <si>
    <t xml:space="preserve">DR RIGATTI</t>
  </si>
  <si>
    <t xml:space="preserve">IMPLANTE</t>
  </si>
  <si>
    <t xml:space="preserve">SOROTERAPIA</t>
  </si>
  <si>
    <t xml:space="preserve">TIRZEPATIDA </t>
  </si>
  <si>
    <t xml:space="preserve">APLICAÇÕES</t>
  </si>
  <si>
    <t xml:space="preserve">ONLINE</t>
  </si>
  <si>
    <t xml:space="preserve">COMISSÃO</t>
  </si>
  <si>
    <t xml:space="preserve">NUTRIS</t>
  </si>
  <si>
    <t xml:space="preserve">EXTRAS</t>
  </si>
  <si>
    <t xml:space="preserve">ESTORNO</t>
  </si>
  <si>
    <t xml:space="preserve">DINHEIRO</t>
  </si>
  <si>
    <t xml:space="preserve">SICOOB</t>
  </si>
  <si>
    <t xml:space="preserve">SAFRA </t>
  </si>
  <si>
    <t xml:space="preserve">PIX SAFRA</t>
  </si>
  <si>
    <t xml:space="preserve">INFINITE</t>
  </si>
  <si>
    <t xml:space="preserve">PIX CORA</t>
  </si>
  <si>
    <t xml:space="preserve">CHEQUE</t>
  </si>
  <si>
    <t xml:space="preserve">BOLETO</t>
  </si>
  <si>
    <t xml:space="preserve">EXTRAS JUROS</t>
  </si>
  <si>
    <t xml:space="preserve">TX SICCOB</t>
  </si>
  <si>
    <t xml:space="preserve">TX INFINITE</t>
  </si>
  <si>
    <t xml:space="preserve">TX SAFRA</t>
  </si>
  <si>
    <t xml:space="preserve">NP MÊS</t>
  </si>
  <si>
    <t xml:space="preserve">OBSERVAÇÃO</t>
  </si>
  <si>
    <t xml:space="preserve">CARTÃO</t>
  </si>
  <si>
    <t xml:space="preserve">DATA</t>
  </si>
  <si>
    <t xml:space="preserve">NOME</t>
  </si>
  <si>
    <t xml:space="preserve">VD</t>
  </si>
  <si>
    <t xml:space="preserve">TRATAMENTO</t>
  </si>
  <si>
    <t xml:space="preserve">SORO DR</t>
  </si>
  <si>
    <t xml:space="preserve">EXTRA</t>
  </si>
  <si>
    <t xml:space="preserve">TRANSF/PIX </t>
  </si>
  <si>
    <t xml:space="preserve">CHEQUE </t>
  </si>
  <si>
    <t xml:space="preserve">JUROS CARTÃO </t>
  </si>
  <si>
    <t xml:space="preserve">NP ABERTA</t>
  </si>
  <si>
    <t xml:space="preserve"> </t>
  </si>
  <si>
    <t xml:space="preserve">MIGUEL SILVA CAMPOS</t>
  </si>
  <si>
    <t xml:space="preserve">LH</t>
  </si>
  <si>
    <t xml:space="preserve">CHARLES DA COSTA</t>
  </si>
  <si>
    <t xml:space="preserve">PG</t>
  </si>
  <si>
    <t xml:space="preserve">LARISSA SILVERIO APOLINARIO</t>
  </si>
  <si>
    <t xml:space="preserve">PIX EM NOME DE GLAUCIA ALINE DE OLIVEIRA</t>
  </si>
  <si>
    <t xml:space="preserve">LIDIA PASQUALI DE OLIVEIRA</t>
  </si>
  <si>
    <t xml:space="preserve">CARLOS ROBERTO CALDAS MARTINS</t>
  </si>
  <si>
    <t xml:space="preserve">BOL</t>
  </si>
  <si>
    <t xml:space="preserve">RAQUEL BASTOS SANTOS</t>
  </si>
  <si>
    <t xml:space="preserve">NELSON CUSTODIO JUNIOR</t>
  </si>
  <si>
    <t xml:space="preserve">THAIS REGINA FICAGNA</t>
  </si>
  <si>
    <t xml:space="preserve">BOLETO ANTIGO</t>
  </si>
  <si>
    <t xml:space="preserve">CRISTIANE VEIGA MARTINS</t>
  </si>
  <si>
    <t xml:space="preserve">CLAUDETE TEREZINHA DOS SANTOS</t>
  </si>
  <si>
    <t xml:space="preserve">LEONI MARIA KUHNEN</t>
  </si>
  <si>
    <t xml:space="preserve">MARIA ADELAIDE DA SILVA</t>
  </si>
  <si>
    <t xml:space="preserve">FABIANE ABREU DE OLIVEIRA FEYTH</t>
  </si>
  <si>
    <t xml:space="preserve">NEGOCIAÇAO JURIDICA</t>
  </si>
  <si>
    <t xml:space="preserve">THIAGO AWDZEIJCZUK STEFFENS</t>
  </si>
  <si>
    <t xml:space="preserve">RAFAELA DA ROSA</t>
  </si>
  <si>
    <t xml:space="preserve">3277</t>
  </si>
  <si>
    <t xml:space="preserve">CLAILTON PAULO GARTINER</t>
  </si>
  <si>
    <t xml:space="preserve">THAIS VONTOBEL DE MARCO</t>
  </si>
  <si>
    <t xml:space="preserve">DIEGO SANTANA DE OLIVEIRA</t>
  </si>
  <si>
    <t xml:space="preserve">4635</t>
  </si>
  <si>
    <t xml:space="preserve">VALTER SERAFIM ALBINO</t>
  </si>
  <si>
    <t xml:space="preserve">JULIO CESAR MARTINS DUARTE</t>
  </si>
  <si>
    <t xml:space="preserve">JADER BARBOSA MARTINS</t>
  </si>
  <si>
    <t xml:space="preserve">SILVANA CORREIA</t>
  </si>
  <si>
    <t xml:space="preserve">MARIA GORETE DA SILVA</t>
  </si>
  <si>
    <t xml:space="preserve">CLAUDIA REGINA HERMENEGILDO SILVA</t>
  </si>
  <si>
    <t xml:space="preserve">JOSEANE FERRARI CORTES</t>
  </si>
  <si>
    <t xml:space="preserve">THAIS CRISTIANE KLEHM DOS PASSOS </t>
  </si>
  <si>
    <t xml:space="preserve">LUANA HENN MEIRELLES</t>
  </si>
  <si>
    <t xml:space="preserve">PALMA SOFIA FONSECA MARTINELLI</t>
  </si>
  <si>
    <t xml:space="preserve">EST</t>
  </si>
  <si>
    <t xml:space="preserve">ESTORNO PARA PACIENTE PIX CORA</t>
  </si>
  <si>
    <t xml:space="preserve">ANGELA CELIA DONASIKI FILIPINI</t>
  </si>
  <si>
    <t xml:space="preserve">DIEGO KALISEWSKI</t>
  </si>
  <si>
    <t xml:space="preserve">PIX EM NOME DE GLEYCE LISLENE ROBECK</t>
  </si>
  <si>
    <t xml:space="preserve">ANNA LUIZA ROCHA RODRIGUES</t>
  </si>
  <si>
    <t xml:space="preserve">JOICE DA SILVA</t>
  </si>
  <si>
    <t xml:space="preserve">GELSON LAFFITTE</t>
  </si>
  <si>
    <t xml:space="preserve">2207</t>
  </si>
  <si>
    <t xml:space="preserve">SUELEN CAVALHEIRO GONCALVES</t>
  </si>
  <si>
    <t xml:space="preserve">3289</t>
  </si>
  <si>
    <t xml:space="preserve">ANDREA TEREZINHA GONCALVES</t>
  </si>
  <si>
    <t xml:space="preserve">ELIDIANE REIS MOSER PRESTES</t>
  </si>
  <si>
    <t xml:space="preserve">PG JUNTO COM O ESPOSO ANDERSON C PRESTES</t>
  </si>
  <si>
    <t xml:space="preserve">ANDERSON CLEBER PRESTES</t>
  </si>
  <si>
    <t xml:space="preserve">PG JUNTO COM A ESPOSA ELIDIANE MOSER PRESTES</t>
  </si>
  <si>
    <t xml:space="preserve">VERA LUCIA ALVES DOS SANTOS GONCALVES</t>
  </si>
  <si>
    <t xml:space="preserve">CONSULTA ONLINE</t>
  </si>
  <si>
    <t xml:space="preserve">MARIA VANESSA LIRA DE SOUSA</t>
  </si>
  <si>
    <t xml:space="preserve">1380</t>
  </si>
  <si>
    <t xml:space="preserve">ANGELA MARIA CARVALHO LEOPOLDO</t>
  </si>
  <si>
    <t xml:space="preserve">3259</t>
  </si>
  <si>
    <t xml:space="preserve">VINICIUS VOSS</t>
  </si>
  <si>
    <t xml:space="preserve">3097</t>
  </si>
  <si>
    <t xml:space="preserve">LUCIANA VANESSA PAMPLONA</t>
  </si>
  <si>
    <t xml:space="preserve">CARLA LIMA</t>
  </si>
  <si>
    <t xml:space="preserve">2999</t>
  </si>
  <si>
    <t xml:space="preserve">GABRIELA FIALHO PROBST</t>
  </si>
  <si>
    <t xml:space="preserve">MARCIA ELISA MICHEL</t>
  </si>
  <si>
    <t xml:space="preserve">ALEXANDRE KELLER</t>
  </si>
  <si>
    <t xml:space="preserve">NP EM ABERTO</t>
  </si>
  <si>
    <t xml:space="preserve">MARLENE DA SILVA COSTA</t>
  </si>
  <si>
    <t xml:space="preserve">CYNTIA HELENA RAQUEL ANDRIOLI GESSE MULLER</t>
  </si>
  <si>
    <t xml:space="preserve">5227</t>
  </si>
  <si>
    <t xml:space="preserve">EDER DA SILVA SOUSA </t>
  </si>
  <si>
    <t xml:space="preserve">0522</t>
  </si>
  <si>
    <t xml:space="preserve">8465</t>
  </si>
  <si>
    <t xml:space="preserve">ROSANGELA WYZYKOWSKI</t>
  </si>
  <si>
    <t xml:space="preserve">CLAUDIA MARA HEUSI MELLO QUINTINO</t>
  </si>
  <si>
    <t xml:space="preserve">SANDRA APARECIDA FAUSTO</t>
  </si>
  <si>
    <t xml:space="preserve">VINICIUS DE SA PERAZZO</t>
  </si>
  <si>
    <t xml:space="preserve">JAQUELINE GAZANIGA</t>
  </si>
  <si>
    <t xml:space="preserve">6664</t>
  </si>
  <si>
    <t xml:space="preserve">TALITA ANTICAGLIA MIRANDA</t>
  </si>
  <si>
    <t xml:space="preserve">6756</t>
  </si>
  <si>
    <t xml:space="preserve">KELLY CHRISTINA ANTES</t>
  </si>
  <si>
    <t xml:space="preserve">2 KIT DE SORO 50,00 </t>
  </si>
  <si>
    <t xml:space="preserve">ROZENI BASTOS BATISTA</t>
  </si>
  <si>
    <t xml:space="preserve">5121</t>
  </si>
  <si>
    <t xml:space="preserve">3375</t>
  </si>
  <si>
    <t xml:space="preserve">LUCIANA ARAUJO</t>
  </si>
  <si>
    <t xml:space="preserve">7224</t>
  </si>
  <si>
    <t xml:space="preserve">ANNA PAULA ANDRIOLI GESSER MULLER CEZAR</t>
  </si>
  <si>
    <t xml:space="preserve">ANDERSON TESTE</t>
  </si>
  <si>
    <t xml:space="preserve">4453</t>
  </si>
  <si>
    <t xml:space="preserve">MARIA GORETI DA SILVA</t>
  </si>
  <si>
    <t xml:space="preserve">5319</t>
  </si>
  <si>
    <t xml:space="preserve">4763</t>
  </si>
  <si>
    <t xml:space="preserve">RODRIGO SAGRADIN</t>
  </si>
  <si>
    <t xml:space="preserve">TSHARLES ROBERTO TAIARIOL </t>
  </si>
  <si>
    <t xml:space="preserve">BELAIR APARECIDA DE FREITAS PADILHA</t>
  </si>
  <si>
    <t xml:space="preserve">ANDRE ELY</t>
  </si>
  <si>
    <t xml:space="preserve">PRICILA CARLA DA SILVA ELY</t>
  </si>
  <si>
    <t xml:space="preserve">OSVALDO OLAVO TEIXEIRA</t>
  </si>
  <si>
    <t xml:space="preserve">5924</t>
  </si>
  <si>
    <t xml:space="preserve">ANTONIO LUIS GONCALVES DE SOUSA</t>
  </si>
  <si>
    <t xml:space="preserve">PG JUNTO COM A ESPOSA FABIANA MORIGGI</t>
  </si>
  <si>
    <t xml:space="preserve">FABIANA MORIGGI</t>
  </si>
  <si>
    <t xml:space="preserve">PG JUNTO COM O ESPOSO ANTONIO LUIS G DE SOUSA</t>
  </si>
  <si>
    <t xml:space="preserve">ROSILENE MARIA SODRE</t>
  </si>
  <si>
    <t xml:space="preserve">3943</t>
  </si>
  <si>
    <t xml:space="preserve">FABIO ANTONIO FILIPINI</t>
  </si>
  <si>
    <t xml:space="preserve">1962</t>
  </si>
  <si>
    <t xml:space="preserve">7184</t>
  </si>
  <si>
    <t xml:space="preserve">ANA MARIA REDERD DE OLIVEIRA</t>
  </si>
  <si>
    <t xml:space="preserve">6109</t>
  </si>
  <si>
    <t xml:space="preserve">PRISCILA ANDREA DE SOUZA PRZYWITOWSKI</t>
  </si>
  <si>
    <t xml:space="preserve">3919</t>
  </si>
  <si>
    <t xml:space="preserve">SUZETE ANTONIETA LIZOTE TERRES</t>
  </si>
  <si>
    <t xml:space="preserve">7834</t>
  </si>
  <si>
    <t xml:space="preserve">JEPSON DALLA ROSA</t>
  </si>
  <si>
    <t xml:space="preserve">6807</t>
  </si>
  <si>
    <t xml:space="preserve">LIANE LOPES DA VEIGA</t>
  </si>
  <si>
    <t xml:space="preserve">8243</t>
  </si>
  <si>
    <t xml:space="preserve">EM NOME DE JOAS E LIANE LTDA</t>
  </si>
  <si>
    <t xml:space="preserve">FERNANDA CRISTINA MACHADO</t>
  </si>
  <si>
    <t xml:space="preserve">ROSEMERI MAFFEZZOLLI</t>
  </si>
  <si>
    <t xml:space="preserve">3664</t>
  </si>
  <si>
    <t xml:space="preserve">MARCELE CRISTINA DE CASTRO</t>
  </si>
  <si>
    <t xml:space="preserve">EBTSSAM ABDALLA MUSTAFA</t>
  </si>
  <si>
    <t xml:space="preserve">PERPETUA CUSTODIO RAMOS </t>
  </si>
  <si>
    <t xml:space="preserve">TIAGO HERON</t>
  </si>
  <si>
    <t xml:space="preserve">GABRIELA ZUCKI</t>
  </si>
  <si>
    <t xml:space="preserve">ISABELLA EMILIO REBELLO</t>
  </si>
  <si>
    <t xml:space="preserve">9186</t>
  </si>
  <si>
    <t xml:space="preserve">1352</t>
  </si>
  <si>
    <t xml:space="preserve">MURILO CORREA DE SOUZA</t>
  </si>
  <si>
    <t xml:space="preserve">7583</t>
  </si>
  <si>
    <t xml:space="preserve">NP PAGA </t>
  </si>
  <si>
    <t xml:space="preserve">JOSELIA SALVELINA SILVA</t>
  </si>
  <si>
    <t xml:space="preserve">9319</t>
  </si>
  <si>
    <t xml:space="preserve">JESSICA NAYARA DE JESUS COPQUE</t>
  </si>
  <si>
    <t xml:space="preserve">INDIONARA VEDANA DE LIMA</t>
  </si>
  <si>
    <t xml:space="preserve">LEONARDO DA SILVA BENTO</t>
  </si>
  <si>
    <t xml:space="preserve">ACORDO JUDICIAL </t>
  </si>
  <si>
    <t xml:space="preserve">KALIN HASHINO</t>
  </si>
  <si>
    <t xml:space="preserve">8082</t>
  </si>
  <si>
    <t xml:space="preserve">LUIZ FERNANDO BENVENUTTI JUNIOR</t>
  </si>
  <si>
    <t xml:space="preserve">5790</t>
  </si>
  <si>
    <t xml:space="preserve">MARIA GORETTI CHAVES ESMERALDINO</t>
  </si>
  <si>
    <t xml:space="preserve">6600</t>
  </si>
  <si>
    <t xml:space="preserve">LARISSA STADLER ARRUDA CANTAROTTI</t>
  </si>
  <si>
    <t xml:space="preserve">7595</t>
  </si>
  <si>
    <t xml:space="preserve">ELIZA LEMOS SANTOS </t>
  </si>
  <si>
    <t xml:space="preserve">0324</t>
  </si>
  <si>
    <t xml:space="preserve">MICHELLE DA SILVA LEMOS</t>
  </si>
  <si>
    <t xml:space="preserve">HELIA PATRICIA MOREIRA</t>
  </si>
  <si>
    <t xml:space="preserve">2640</t>
  </si>
  <si>
    <t xml:space="preserve">VANESSA DIAS MEDINA</t>
  </si>
  <si>
    <t xml:space="preserve">JULIANA CARDOSO STUHLERT</t>
  </si>
  <si>
    <t xml:space="preserve">0447</t>
  </si>
  <si>
    <t xml:space="preserve">JANETE TERESINHA BROLINE PICKCIUS</t>
  </si>
  <si>
    <t xml:space="preserve">0488</t>
  </si>
  <si>
    <t xml:space="preserve">LIDIANE GOMES FLORES</t>
  </si>
  <si>
    <t xml:space="preserve">2815</t>
  </si>
  <si>
    <t xml:space="preserve">GIANI SPREDEMANN</t>
  </si>
  <si>
    <t xml:space="preserve">CARLA SABRINA ROCHA COTTA</t>
  </si>
  <si>
    <t xml:space="preserve">DOUGLAS WEBER</t>
  </si>
  <si>
    <t xml:space="preserve">6677</t>
  </si>
  <si>
    <t xml:space="preserve">5461</t>
  </si>
  <si>
    <t xml:space="preserve">THAIS CRISTINA TOAZZA</t>
  </si>
  <si>
    <t xml:space="preserve">9859</t>
  </si>
  <si>
    <t xml:space="preserve">MATHEUS PIRES ROSSO</t>
  </si>
  <si>
    <t xml:space="preserve">3494</t>
  </si>
  <si>
    <t xml:space="preserve">6981</t>
  </si>
  <si>
    <t xml:space="preserve">PAMELA R PARISE KUERTEN</t>
  </si>
  <si>
    <t xml:space="preserve">5359</t>
  </si>
  <si>
    <t xml:space="preserve">4022</t>
  </si>
  <si>
    <t xml:space="preserve">3227</t>
  </si>
  <si>
    <t xml:space="preserve">RAFAEL DA SILVA DOS SANTOS</t>
  </si>
  <si>
    <t xml:space="preserve">9220</t>
  </si>
  <si>
    <t xml:space="preserve">PIERRE CUGNIER</t>
  </si>
  <si>
    <t xml:space="preserve">ERICK DE AMORIM CORDEIRO</t>
  </si>
  <si>
    <t xml:space="preserve">SIMONE ANDREA DA SILVA</t>
  </si>
  <si>
    <t xml:space="preserve">2425</t>
  </si>
  <si>
    <t xml:space="preserve">ALINE MARIA DE ARRUDA</t>
  </si>
  <si>
    <t xml:space="preserve">8615</t>
  </si>
  <si>
    <t xml:space="preserve">ADRIANE RADELISKI MIRANDA</t>
  </si>
  <si>
    <t xml:space="preserve">6915</t>
  </si>
  <si>
    <t xml:space="preserve">ADEMILDO VIEGAS RODRIGUES</t>
  </si>
  <si>
    <t xml:space="preserve">8153</t>
  </si>
  <si>
    <t xml:space="preserve">8555</t>
  </si>
  <si>
    <t xml:space="preserve">ALTAIR JOSE EBERLE</t>
  </si>
  <si>
    <t xml:space="preserve">5344</t>
  </si>
  <si>
    <t xml:space="preserve">DAIANA GERMANO FRAGA</t>
  </si>
  <si>
    <t xml:space="preserve">8409</t>
  </si>
  <si>
    <t xml:space="preserve">5670</t>
  </si>
  <si>
    <t xml:space="preserve">EDUARDO WIETHORN RODRIGUES</t>
  </si>
  <si>
    <t xml:space="preserve">3389</t>
  </si>
  <si>
    <t xml:space="preserve">2472</t>
  </si>
  <si>
    <t xml:space="preserve">FLAVIA NUNES ABRANTES DEMORI</t>
  </si>
  <si>
    <t xml:space="preserve">ADELCIO ANTENOR VIEIRA</t>
  </si>
  <si>
    <t xml:space="preserve">LUZIMAR LEMOS TURRUBIARTES</t>
  </si>
  <si>
    <t xml:space="preserve">EDUARDO DA SILVA</t>
  </si>
  <si>
    <t xml:space="preserve">FABIANA DIAS BARBOSA</t>
  </si>
  <si>
    <t xml:space="preserve">5223</t>
  </si>
  <si>
    <t xml:space="preserve">EDUARDO COELHO BOSCO</t>
  </si>
  <si>
    <t xml:space="preserve">7458</t>
  </si>
  <si>
    <t xml:space="preserve">YASMIN PERALTA MULARI</t>
  </si>
  <si>
    <t xml:space="preserve">PG REF A BOLETO ANTIGO</t>
  </si>
  <si>
    <t xml:space="preserve">RODRIGO LIMA</t>
  </si>
  <si>
    <t xml:space="preserve">0497</t>
  </si>
  <si>
    <t xml:space="preserve">ELIZABETH QUASNE</t>
  </si>
  <si>
    <t xml:space="preserve">7851</t>
  </si>
  <si>
    <t xml:space="preserve">DECIO COELHO SIQUEIRA JUNIOR</t>
  </si>
  <si>
    <t xml:space="preserve">6157</t>
  </si>
  <si>
    <t xml:space="preserve">JULIA DA ROSA MATOS</t>
  </si>
  <si>
    <t xml:space="preserve">ROSILANE FATIMA VARNIER</t>
  </si>
  <si>
    <t xml:space="preserve">COMISSAO MASTER</t>
  </si>
  <si>
    <t xml:space="preserve">COM</t>
  </si>
  <si>
    <t xml:space="preserve">BAIXAS 2</t>
  </si>
  <si>
    <t xml:space="preserve">TOTAL</t>
  </si>
  <si>
    <t xml:space="preserve">SETOR</t>
  </si>
  <si>
    <t xml:space="preserve">MÊS REFERENCIA</t>
  </si>
  <si>
    <t xml:space="preserve">LIVRO</t>
  </si>
  <si>
    <t xml:space="preserve">DR VICTOR</t>
  </si>
  <si>
    <t xml:space="preserve">TIRZEPATIDA</t>
  </si>
  <si>
    <t xml:space="preserve">VANESSA ENILDA BERCKVEDL </t>
  </si>
  <si>
    <t xml:space="preserve">PAGO SOMENTE REALIZADO</t>
  </si>
  <si>
    <t xml:space="preserve">CLIENTE</t>
  </si>
  <si>
    <t xml:space="preserve">FAT JAN/25</t>
  </si>
  <si>
    <t xml:space="preserve">KELI CAROLINE MARQUES DOS SANTOS</t>
  </si>
  <si>
    <t xml:space="preserve">PACIENTE NÃO FECHOU O TRATAMENTO</t>
  </si>
  <si>
    <t xml:space="preserve">FAT ABR/25</t>
  </si>
  <si>
    <t xml:space="preserve">GABRIEL DA SILVA </t>
  </si>
  <si>
    <t xml:space="preserve">PAGO SOMENTE REALIZADO - PROBLEMAS FINANCEIROS</t>
  </si>
  <si>
    <t xml:space="preserve">MARIANE NASCIMENTO MENDES</t>
  </si>
  <si>
    <t xml:space="preserve">FAT JUN/25</t>
  </si>
  <si>
    <t xml:space="preserve">JULIO DOSE </t>
  </si>
  <si>
    <t xml:space="preserve">FAT MAI/25</t>
  </si>
  <si>
    <t xml:space="preserve">LUANA MELISSA DA ROSA MACHADO DA SILVA </t>
  </si>
  <si>
    <t xml:space="preserve">RAFAEL DOURADO CAMURÇA</t>
  </si>
  <si>
    <t xml:space="preserve">PACIENTE NÃO FECHOU GH</t>
  </si>
  <si>
    <t xml:space="preserve">FAT AGO/25</t>
  </si>
  <si>
    <t xml:space="preserve">MANUEL VANAT</t>
  </si>
  <si>
    <t xml:space="preserve">PACIENTE PAGOU SOMENTE O REALIZADO</t>
  </si>
  <si>
    <t xml:space="preserve">FAT OUT/25</t>
  </si>
  <si>
    <t xml:space="preserve">OBS./MÊS REFERENCIA</t>
  </si>
  <si>
    <t xml:space="preserve">TATIANA BRAGA CORTES FIALHO DOS REIS </t>
  </si>
  <si>
    <t xml:space="preserve">DESCONTO AVALIAÇÃO - NÃO FOI DESCONTADO DO VALOR DO TRATAMENTO </t>
  </si>
  <si>
    <t xml:space="preserve">TÉCNICO </t>
  </si>
  <si>
    <t xml:space="preserve">FAT FEV/24</t>
  </si>
  <si>
    <t xml:space="preserve">ANDREA CUSTODIO ZELASKO</t>
  </si>
  <si>
    <t xml:space="preserve">NÃO FEZ TRATAMENTO - VEIO SÓ 1 VEZ - CANCEL COM MULTA - COBRADO O REALIZADO</t>
  </si>
  <si>
    <t xml:space="preserve">FAT JAN/24</t>
  </si>
  <si>
    <t xml:space="preserve">JOSÉ LOYOLA </t>
  </si>
  <si>
    <t xml:space="preserve">NÃO FECHOU TRATAMENTO </t>
  </si>
  <si>
    <t xml:space="preserve">HELANDIO FELIPE  ALVES DA SILVA </t>
  </si>
  <si>
    <t xml:space="preserve">LIANDRA MULLER</t>
  </si>
  <si>
    <t xml:space="preserve">SIMONE BALESTRIN SCHNEIDER </t>
  </si>
  <si>
    <t xml:space="preserve">DEISE ANDRIES CAZELATO </t>
  </si>
  <si>
    <t xml:space="preserve">PAGO O REALIZADO COM MULTA - QUEDA DE CABELO E SANGRAMENTO - VOLTOU PARA RIO DE JANEIRO </t>
  </si>
  <si>
    <t xml:space="preserve">CATARINA MARIA FURLAN </t>
  </si>
  <si>
    <t xml:space="preserve">PAGO O REALIZADO - NÃO SE ADAPTOU AO TRATAMENTO </t>
  </si>
  <si>
    <t xml:space="preserve">FAT  FEV/24</t>
  </si>
  <si>
    <t xml:space="preserve">GISLAINE DA SILVEIRA </t>
  </si>
  <si>
    <t xml:space="preserve">FAT MAR/24</t>
  </si>
  <si>
    <t xml:space="preserve">FABIO MARCELO DA SILVA </t>
  </si>
  <si>
    <t xml:space="preserve">NÃO VAI FAZER - COBRADO REALIZADO COM MULTA - PROBLEMAS CARDIÁCOS VAI FAZER CATETERISMO (CRÉDITO R$ 4.725,00 PARA ESPOSA GIULIANA GALASSINI DA SILVA)</t>
  </si>
  <si>
    <t xml:space="preserve">ANA CALUDA SANTANA </t>
  </si>
  <si>
    <t xml:space="preserve">DESCONTO 7% TRATAMENTO À VISTA EM DINHEIRO </t>
  </si>
  <si>
    <t xml:space="preserve">NEGOCIAÇÃO</t>
  </si>
  <si>
    <t xml:space="preserve">LEONARDO RENOLDO DA SILVA </t>
  </si>
  <si>
    <t xml:space="preserve">REF HCG EM FALTA E PRESCRIÇÃO DR. QUE NÃO FEZ - PAGOU TRATAMENTO 8K</t>
  </si>
  <si>
    <t xml:space="preserve">ANA PAULA MAGALHÃES SEBAGE PEREIRA </t>
  </si>
  <si>
    <t xml:space="preserve">FAT ABR/24</t>
  </si>
  <si>
    <t xml:space="preserve">LUCAS GUILHERME OLIVEIRA </t>
  </si>
  <si>
    <t xml:space="preserve">NÃO FEZ APLICAÇÕES - PACIENTE PROBLEMA - CANCELAMENTO COM MULTA </t>
  </si>
  <si>
    <t xml:space="preserve">ALEXSANDRO ASSUNÇÃO </t>
  </si>
  <si>
    <t xml:space="preserve">DESCONTO REF APLICAÇÃO METENOLONA QUE DEU REAÇÃO - </t>
  </si>
  <si>
    <t xml:space="preserve">FAT MAI/24</t>
  </si>
  <si>
    <t xml:space="preserve">JULIANA ALVES DE BARROS </t>
  </si>
  <si>
    <t xml:space="preserve">COBRADO REALIZADO - PACIENTE DIZ QUE NÃO TEVE ASSISTENCIA - REAÇÕES A MEDICAÇÕES </t>
  </si>
  <si>
    <t xml:space="preserve">NEUSA MARIA ROCKENBACH</t>
  </si>
  <si>
    <t xml:space="preserve">PAGO O REALIZADO COM MULTAS - LIANE TENTOU RESGATE </t>
  </si>
  <si>
    <t xml:space="preserve">EDUARDO ALEXANDRE ALVES</t>
  </si>
  <si>
    <t xml:space="preserve">REFERENTE DESCONTO PAGO PIX</t>
  </si>
  <si>
    <t xml:space="preserve">VALDERESA GASSEN FERNANDES</t>
  </si>
  <si>
    <t xml:space="preserve">REF CRHYSTIAN DESCONTO DA VENDA</t>
  </si>
  <si>
    <t xml:space="preserve">MARILENE LEITE BEZERRA</t>
  </si>
  <si>
    <t xml:space="preserve">NÃO VAI FAZER SORO - LIANE TENTOU RESGATE</t>
  </si>
  <si>
    <t xml:space="preserve">CINTHIA DE FATIMA POSSAMAI DELA HOMEM</t>
  </si>
  <si>
    <t xml:space="preserve">NÃO FEZ TRATAMENTO - VEIO SÓ 1 VEZ - CANCEL - COBRADO O REALIZADO</t>
  </si>
  <si>
    <t xml:space="preserve">ELIANA REGINA FAGUNDES FAUSTINO </t>
  </si>
  <si>
    <t xml:space="preserve">JULIANA ANDRADE DOS BARROS </t>
  </si>
  <si>
    <t xml:space="preserve">NÃO FECHOU TRATAMENTO - LIANE TENTOU RESGATE </t>
  </si>
  <si>
    <t xml:space="preserve">MARCO ANTONIO BASTO </t>
  </si>
  <si>
    <t xml:space="preserve">JONES BOSCATO </t>
  </si>
  <si>
    <t xml:space="preserve">ANA PAULA PETRAZZINI </t>
  </si>
  <si>
    <t xml:space="preserve">FECHOU SOMENTE IMPLANTE </t>
  </si>
  <si>
    <t xml:space="preserve">FAT JUL/24</t>
  </si>
  <si>
    <t xml:space="preserve">JULIANA DA CUNHA </t>
  </si>
  <si>
    <t xml:space="preserve">MURIAN KADINE ALANO </t>
  </si>
  <si>
    <t xml:space="preserve">EDINEIA ALMEIDA </t>
  </si>
  <si>
    <t xml:space="preserve">AVALIÇÃO BONIFICADA COMERCIAL</t>
  </si>
  <si>
    <t xml:space="preserve">TECNICO</t>
  </si>
  <si>
    <t xml:space="preserve">HELENA KARINA PASSOS</t>
  </si>
  <si>
    <t xml:space="preserve">EDEVALDO TEIXEIRA </t>
  </si>
  <si>
    <t xml:space="preserve">GISELE CORREA</t>
  </si>
  <si>
    <t xml:space="preserve">ESTORNO DO NÃO REALIZADO E ISENTO DA MULTA - AUTORIZADO DR RIGA - VEIO COM O MARIDO, SEM LIBIDO, SEM RESULTADO</t>
  </si>
  <si>
    <t xml:space="preserve">FAT SET/24</t>
  </si>
  <si>
    <t xml:space="preserve">POLIANA MONTANS DE CARVALHO</t>
  </si>
  <si>
    <t xml:space="preserve">NÃO ADIANTOU TRATAMENTO, TEVE EFEITOS COLATERAIS, VEIO COM O MARIDO - COBRADO O REALIZADO</t>
  </si>
  <si>
    <t xml:space="preserve">ESTORNO/CRÉDITO TROCA DE TRATAMENTO - MEDICAÇÃO QUE NÃO UTILIZOU DESCONTO NO IMPLANTE 24/09/24</t>
  </si>
  <si>
    <t xml:space="preserve">THIAGO RODRIGUES BUENO</t>
  </si>
  <si>
    <t xml:space="preserve">PACIENTE PROBLEMA - DR AUTORIZOU - REF VALOR CIPI - AMEAÇA REDES SOCIAIS E ADVOGADO.</t>
  </si>
  <si>
    <t xml:space="preserve">GISLAINE APARECIDA DOS SANTOS NEUBERGER</t>
  </si>
  <si>
    <t xml:space="preserve">REF MEDICAÇÃO QUE NÃO USOU - NEGOCIAÇÃO</t>
  </si>
  <si>
    <t xml:space="preserve">FAT JUN/24</t>
  </si>
  <si>
    <t xml:space="preserve">FERNANDA RODRIGUES</t>
  </si>
  <si>
    <t xml:space="preserve">NÃO FECHOU TRATAMENTO - PAGO APENAS A APLICAÇÃO REALIZADA - FOI MORAR EM SP</t>
  </si>
  <si>
    <t xml:space="preserve">FERNANDA GALVANE PAROLINA </t>
  </si>
  <si>
    <t xml:space="preserve">CONTESTAÇÃO SAFRA - REF MEDICAÇÃO QUE NÃO RECEBEU - TIRZE</t>
  </si>
  <si>
    <t xml:space="preserve">FAT OUT/24</t>
  </si>
  <si>
    <t xml:space="preserve">HELENA DE FATIMA PEREIRA</t>
  </si>
  <si>
    <t xml:space="preserve">NÃO FEZ ESTE TRATAMENTO / FECHOU NOVO TRAT EM SET/24 - NO RESGATE</t>
  </si>
  <si>
    <t xml:space="preserve">WILLIAM ROSADO BONATTI</t>
  </si>
  <si>
    <t xml:space="preserve">PAGO SOMENTE O REALIZADO </t>
  </si>
  <si>
    <t xml:space="preserve">SUZANE CAVICHIOLI DOS SANTOS</t>
  </si>
  <si>
    <t xml:space="preserve">CARLA SABRINA ROCHA COTTA </t>
  </si>
  <si>
    <t xml:space="preserve">LUCAS RODRIGUES PAIXÃO DA SILVA PEREIRA </t>
  </si>
  <si>
    <t xml:space="preserve">NÃO VAI FAZER - TRATAMENTO ANTERIOR EM ABERTO </t>
  </si>
  <si>
    <t xml:space="preserve">FAT NOV 24</t>
  </si>
  <si>
    <t xml:space="preserve">MARIA CAROLINA DE FREITAS DA SILVA AMARAL </t>
  </si>
  <si>
    <t xml:space="preserve">PAULO CESAR PEREIRA DIAS </t>
  </si>
  <si>
    <t xml:space="preserve">NÃO FECHOU TRATAMENTO - LUARA TENTOU RESGATE </t>
  </si>
  <si>
    <t xml:space="preserve">ANGELINA SERUSSI</t>
  </si>
  <si>
    <t xml:space="preserve">NÃO FEZ - RESGATE LIANE</t>
  </si>
  <si>
    <t xml:space="preserve">FAT SET/23</t>
  </si>
  <si>
    <t xml:space="preserve">GUSTAVO DAL PIVA STRINGARI</t>
  </si>
  <si>
    <t xml:space="preserve">REF APLICAÇÕES QUE NÃO FEZ DE DURA E NANDRO - CANCEL COM MULTA - SOLICITADO GEORGE</t>
  </si>
  <si>
    <t xml:space="preserve">BRENDA CAROLINE LEITE BONATO</t>
  </si>
  <si>
    <t xml:space="preserve">NÃO FEZ TRATAMENTO - RESGATE LIANE</t>
  </si>
  <si>
    <t xml:space="preserve">FAT MAR/23</t>
  </si>
  <si>
    <t xml:space="preserve">INES APARECIDA SIQUEIRA</t>
  </si>
  <si>
    <t xml:space="preserve">FAT FEV/23</t>
  </si>
  <si>
    <t xml:space="preserve">EDUARDA CRISTINA DOS SANTOS LUZ</t>
  </si>
  <si>
    <t xml:space="preserve">FAT ABR/23</t>
  </si>
  <si>
    <t xml:space="preserve">BRUNNA CHRISTINA MOTTA</t>
  </si>
  <si>
    <t xml:space="preserve">NÃO FECHOU ESTE TRATAMENTO DE SETEMBRO/23 - FECHOU OUTRO POSTERIOR E JÁ PAGOU</t>
  </si>
  <si>
    <t xml:space="preserve">JOÃO CARLOS UMBELINO JUNIOR </t>
  </si>
  <si>
    <t xml:space="preserve">PROBLEMA SORAIA - AMEAÇA DE PROCESSO CLINICA DEVIDO AO IMPLANTE (ENVIOU FOTOS)</t>
  </si>
  <si>
    <t xml:space="preserve">FAT JAN/23</t>
  </si>
  <si>
    <t xml:space="preserve">JOAO PEDRO FISCHBORN MENDES</t>
  </si>
  <si>
    <t xml:space="preserve">NÃO FEZ TRATAMENTO - DEVIDO À SAUDE - ESTORNO PARCIAL (PAI PEDRO MENDES PACIENTE TB)</t>
  </si>
  <si>
    <t xml:space="preserve">FAT OUT/23</t>
  </si>
  <si>
    <t xml:space="preserve">FABRICIA MATIAS </t>
  </si>
  <si>
    <t xml:space="preserve">NÃO VAI FAZER TRATAMENTO - CANCELAMENTO COM MULTA - LEVOU MEDICAÇÃO </t>
  </si>
  <si>
    <t xml:space="preserve">FAT NOV/23</t>
  </si>
  <si>
    <t xml:space="preserve">ANDREZA MARIA GERVASI DE MELLO </t>
  </si>
  <si>
    <t xml:space="preserve">PEDRA DA VISICULA E O MIOMA NÃO PODENDO FAZER AS APLICAÇÕES  </t>
  </si>
  <si>
    <t xml:space="preserve">WALDECIR GLAUCO GILL</t>
  </si>
  <si>
    <t xml:space="preserve">NÃO FEZ TRATAMENTO </t>
  </si>
  <si>
    <t xml:space="preserve">DANIELA SALVEINA DE MELO </t>
  </si>
  <si>
    <t xml:space="preserve">GRÁVIDA, RETIROU IMPLANTE - BAIXA DE BOLETOS  </t>
  </si>
  <si>
    <t xml:space="preserve">THAIS REGINA FICAGNA </t>
  </si>
  <si>
    <t xml:space="preserve">NEGOCIAÇÃO - DESCONTO DE UM SORO NÃO REALIZADO </t>
  </si>
  <si>
    <t xml:space="preserve">NEGOCIAÇÃO </t>
  </si>
  <si>
    <t xml:space="preserve">ELISANGELA FERREIRA TIMOTEO</t>
  </si>
  <si>
    <t xml:space="preserve">FAT JUL/23</t>
  </si>
  <si>
    <t xml:space="preserve">SCHIRLEY JANFT</t>
  </si>
  <si>
    <t xml:space="preserve">NÃO FEZ TRATAMENTO - SEM CONDIÇÕES FINANCEIRA </t>
  </si>
  <si>
    <t xml:space="preserve">FAT DEZ/23</t>
  </si>
  <si>
    <t xml:space="preserve">OSMAR SIGNORINI </t>
  </si>
  <si>
    <t xml:space="preserve">PAGO O REALIZADO - SORO </t>
  </si>
  <si>
    <t xml:space="preserve">FAT MAI/23</t>
  </si>
  <si>
    <t xml:space="preserve">MATHEUS TOSIN CATALÁ </t>
  </si>
  <si>
    <t xml:space="preserve">NÃO FECHOU ESTE TRATAMENTO </t>
  </si>
  <si>
    <t xml:space="preserve">FAT 11/23</t>
  </si>
  <si>
    <t xml:space="preserve">CASSIA REUWSATT</t>
  </si>
  <si>
    <t xml:space="preserve">GIULIANA G. SILVA </t>
  </si>
  <si>
    <t xml:space="preserve">FLAVIA DA SILVA GOMES </t>
  </si>
  <si>
    <t xml:space="preserve">INDIARAI AIRAM RODRIGUES </t>
  </si>
  <si>
    <t xml:space="preserve">PAGO O REALIZADO </t>
  </si>
  <si>
    <t xml:space="preserve">SUELLYN FABIANA SILVA </t>
  </si>
  <si>
    <t xml:space="preserve">COBRADO O REALIZADO/NEGOCIAÇÃO </t>
  </si>
  <si>
    <t xml:space="preserve">GABRIELA ZUCKI MONTIBELLER </t>
  </si>
  <si>
    <t xml:space="preserve">NÃO FEZ TRATAMENTO - RESGATE LIANE - CONTRATOU NOVO TRATAMENTO EM MARÇO/2024</t>
  </si>
  <si>
    <t xml:space="preserve">JESSYCA ALENCAR </t>
  </si>
  <si>
    <t xml:space="preserve">DANIELA PICININI</t>
  </si>
  <si>
    <t xml:space="preserve">PAGO O REALIZADO COM MULTA - VEIO SOMENTE PRIMEIRO DIA E VAI FAZER UMA CIRURGIA </t>
  </si>
  <si>
    <t xml:space="preserve">RAISSA LEAL MONTEIRO</t>
  </si>
  <si>
    <t xml:space="preserve">ELNILCE LAURA GABIAN </t>
  </si>
  <si>
    <t xml:space="preserve">COBRADO O REALIZADO/NEGOCIAÇÃO</t>
  </si>
  <si>
    <t xml:space="preserve">FAT JUN/23</t>
  </si>
  <si>
    <t xml:space="preserve">PATRICIA KLUCK</t>
  </si>
  <si>
    <t xml:space="preserve">SOROTERAPIA - NÃO FEZ TUDO - LIANE TENTOU RESGATE </t>
  </si>
  <si>
    <t xml:space="preserve">BRUNA DO AMARAL MIRANDA </t>
  </si>
  <si>
    <t xml:space="preserve">NÃO FECHOU TRATAMENTO - SEM CONTRATO - SEM NP  </t>
  </si>
  <si>
    <t xml:space="preserve">MAGDA DENSE CABRAL DA CUNHA </t>
  </si>
  <si>
    <t xml:space="preserve">PAGO REALIZADO </t>
  </si>
  <si>
    <t xml:space="preserve">EDICLEIDE CARVALHO PEREIRA DOS SANTOS</t>
  </si>
  <si>
    <t xml:space="preserve">REF IMPLANTE EM DUPLICIDADE E GH QUE NÃO RETIROU - COBRADO O REALIZADO</t>
  </si>
  <si>
    <t xml:space="preserve">CAMILA DA SILVA STOLFI</t>
  </si>
  <si>
    <t xml:space="preserve">NÃO FEZ - VEIO SÓ UMA VEZ - PAGO A MAIS QUE O REALIZADO - TENTADO RESGATE</t>
  </si>
  <si>
    <t xml:space="preserve">GRASIELE LOURENÇO SOUZA CAETANO </t>
  </si>
  <si>
    <t xml:space="preserve">DESCONTO IMPLANTE </t>
  </si>
  <si>
    <t xml:space="preserve">LUCIANA DE OLIVEIRA SACEDO</t>
  </si>
  <si>
    <t xml:space="preserve">COBRADO O REALIZADO/NEGOCIAÇÃO - TENTADO RESGATE</t>
  </si>
  <si>
    <t xml:space="preserve">FAT AGO/23</t>
  </si>
  <si>
    <t xml:space="preserve">KASSIA GISLON DE CAMPOS</t>
  </si>
  <si>
    <t xml:space="preserve">JOANA CRISTINA NEOTTI</t>
  </si>
  <si>
    <t xml:space="preserve">PAGO REALIZADO - LIANE TENTOU RESGATE</t>
  </si>
  <si>
    <t xml:space="preserve">KEITY BELLINI </t>
  </si>
  <si>
    <t xml:space="preserve">ALINE ANDREZA TONINI KOPROWSKI </t>
  </si>
  <si>
    <t xml:space="preserve">VIVIANE FRANÇA Y. AGRIPINI </t>
  </si>
  <si>
    <t xml:space="preserve">NÃO FEZ O TRATAMENTO </t>
  </si>
  <si>
    <t xml:space="preserve">CLIENTE </t>
  </si>
  <si>
    <t xml:space="preserve">JANAINA FERNANDES ZAUER </t>
  </si>
  <si>
    <t xml:space="preserve">ELISANGELA PINHEIRO </t>
  </si>
  <si>
    <t xml:space="preserve">ADRIANA LITALDI</t>
  </si>
  <si>
    <t xml:space="preserve">COBRADO O REALIZADO  - BAIXA BOLETO</t>
  </si>
  <si>
    <t xml:space="preserve">ANE ELISETE SOARES DA LUZ</t>
  </si>
  <si>
    <t xml:space="preserve">COBRADO O REALIZADO - BAIXA BOLETO</t>
  </si>
  <si>
    <t xml:space="preserve">FRANCIELE VIEIRA DOS PRAZERES CAMPOS</t>
  </si>
  <si>
    <t xml:space="preserve">TATIANA RICCI MACEDO</t>
  </si>
  <si>
    <t xml:space="preserve">AJUIZADO - BAIXA - PAGO O REALIZADO</t>
  </si>
  <si>
    <t xml:space="preserve">BX APÓS AJUIZADO</t>
  </si>
  <si>
    <t xml:space="preserve">MARILU DA SIVA </t>
  </si>
  <si>
    <t xml:space="preserve">ANNA AUGUSTA BARBOSA DOS REIS </t>
  </si>
  <si>
    <t xml:space="preserve">DR. AUTORIZOU BAIXAR (LIANE)</t>
  </si>
  <si>
    <t xml:space="preserve">CACIANE GEORGEA MOLINARO </t>
  </si>
  <si>
    <t xml:space="preserve">JUAREZ ANTONIO MARAFON JUNIOR</t>
  </si>
  <si>
    <t xml:space="preserve">GELVANIA DE AZEVEDO APOLONIO </t>
  </si>
  <si>
    <t xml:space="preserve">ROSANGELA APARECIDA MARTINS </t>
  </si>
  <si>
    <t xml:space="preserve">PLANO NUTRICIONISTA QUE NÃO REALIZOU </t>
  </si>
  <si>
    <t xml:space="preserve">FRANCIELE EVANILDE COSTA FRANCO </t>
  </si>
  <si>
    <t xml:space="preserve">SÓ VEIO UMA VEZ - PAGO O REALIZADO 4K ( MAIS DO QUE O REALIZADO )</t>
  </si>
  <si>
    <t xml:space="preserve">GIZELE CRISTINA SGROTT RAMOS</t>
  </si>
  <si>
    <t xml:space="preserve">ADRIANA URBANEK PACHECO </t>
  </si>
  <si>
    <t xml:space="preserve">AMANA SINTIA DE OLIVEIRA</t>
  </si>
  <si>
    <t xml:space="preserve">SÓ VEIO UMA VEZ - PAGO O REALIZADO 3K</t>
  </si>
  <si>
    <t xml:space="preserve">BIANCA COSTA PEREIRA LANZARIN</t>
  </si>
  <si>
    <t xml:space="preserve">PAGO O REALIZADO - TEVE PROBLEMAS COM O LUCAS</t>
  </si>
  <si>
    <t xml:space="preserve">JAQUELINE INACIO</t>
  </si>
  <si>
    <t xml:space="preserve">PAGO O REALIZADO  3K - SEM PRONTUARIO</t>
  </si>
  <si>
    <t xml:space="preserve">CAMILA MARIA SILVA DA SILVA</t>
  </si>
  <si>
    <t xml:space="preserve">NÃO FEZ O TRATAMENTO - VEIO SO UMA VEZ</t>
  </si>
  <si>
    <t xml:space="preserve">SCHARLENE DAIANE ZANETTE SALVADOR </t>
  </si>
  <si>
    <t xml:space="preserve">NÃO FEZ - DEVOLVEU MEDICAÇÃO </t>
  </si>
  <si>
    <t xml:space="preserve">CHINTHYA SULAMITA PORTES </t>
  </si>
  <si>
    <t xml:space="preserve">MIRIAM CARMINATTI DIRSCHNABEL </t>
  </si>
  <si>
    <t xml:space="preserve">CAROLINE BOURSCHEID KLIPEL</t>
  </si>
  <si>
    <t xml:space="preserve">PATRICIA REGIA N. DOS SANTOS ADOLFO</t>
  </si>
  <si>
    <t xml:space="preserve">DOUGLAS BERVEGLIERI FELCAR</t>
  </si>
  <si>
    <t xml:space="preserve">LIDIA TAVARES PEIXOTO DE OLIVEIRA </t>
  </si>
  <si>
    <t xml:space="preserve">JULIANA HELENA NUNES GIACOMOSSI </t>
  </si>
  <si>
    <t xml:space="preserve">ANA PAULA CORREA SANTOS</t>
  </si>
  <si>
    <t xml:space="preserve">DAIANA DE SOUZA AMORIM </t>
  </si>
  <si>
    <t xml:space="preserve">EDER GALINA</t>
  </si>
  <si>
    <t xml:space="preserve">REF CANCELAMENTO - COBRADO O REALIZADO</t>
  </si>
  <si>
    <t xml:space="preserve">SABRINA MORGANA PEREIRA</t>
  </si>
  <si>
    <t xml:space="preserve">ALERGIA DAS APLICAÇÕES - PROBLEMA - NÃO FEZ - PAGO O REALIZADO</t>
  </si>
  <si>
    <t xml:space="preserve">CAROLINA LUIZ</t>
  </si>
  <si>
    <t xml:space="preserve">DESCONTO PAGO NO PIX</t>
  </si>
  <si>
    <t xml:space="preserve">FAT FEV/21</t>
  </si>
  <si>
    <t xml:space="preserve">MARYON APARECIDA PORTES SOMBRIO</t>
  </si>
  <si>
    <t xml:space="preserve">CINTHIA REGINA ZIEHLSDORFF</t>
  </si>
  <si>
    <t xml:space="preserve">FAT JUL/2021</t>
  </si>
  <si>
    <t xml:space="preserve">PATRICIA XAVIER DO ROSARIO</t>
  </si>
  <si>
    <t xml:space="preserve">PAGO O REALIZADO - VEIO SO UM AVEZ</t>
  </si>
  <si>
    <t xml:space="preserve">FAT FEV/2021</t>
  </si>
  <si>
    <t xml:space="preserve">PATRICIA MARINHO RIBEIRO</t>
  </si>
  <si>
    <t xml:space="preserve">COM CANCER, NÃO FINALIZOU - FAZER TRAT COM OUTRO MEDICO - PAGO O REALIZADO 3K</t>
  </si>
  <si>
    <t xml:space="preserve">FAT AGO/2021</t>
  </si>
  <si>
    <t xml:space="preserve">MAURICIO MIGUEL LIBORIO </t>
  </si>
  <si>
    <t xml:space="preserve">NÃO FEZ TRATAMENTO - PAGO REALIZADO </t>
  </si>
  <si>
    <t xml:space="preserve">ELIANA BELEM DE LIMA </t>
  </si>
  <si>
    <t xml:space="preserve">PATRICIA STREY FERREIRA DOS SANTOS </t>
  </si>
  <si>
    <t xml:space="preserve">TALITA ALDA HAUGG</t>
  </si>
  <si>
    <t xml:space="preserve">THIAGO DA SILVA LUNARDI </t>
  </si>
  <si>
    <t xml:space="preserve">NADIR NAVES DO NASCIMENTO </t>
  </si>
  <si>
    <t xml:space="preserve">MARIA DE LOURDES LUCCA MEDUNA </t>
  </si>
  <si>
    <t xml:space="preserve">TIAGO ARATANGI TORRES SANTOS </t>
  </si>
  <si>
    <t xml:space="preserve">ADENIZ MARIA SALES</t>
  </si>
  <si>
    <t xml:space="preserve">ALINE VIEIRA </t>
  </si>
  <si>
    <t xml:space="preserve">TEVE REAÇÕES ÀS APLICAÇÕES - PAUSA / NÃO VOLTOU - PAGO O REALIZADO / PROBLEMA</t>
  </si>
  <si>
    <t xml:space="preserve">JULIANA LOPES MARTINS</t>
  </si>
  <si>
    <t xml:space="preserve">ESTAVA COM CAMILA RIGATTI - REF CHEQUES - NÃO FEZ TODO TRATAMENTO</t>
  </si>
  <si>
    <t xml:space="preserve">AJUIZADO</t>
  </si>
  <si>
    <t xml:space="preserve">ERASMO ROBERTO GUERRA RIVAS</t>
  </si>
  <si>
    <t xml:space="preserve">THAIS MORAES LANGE</t>
  </si>
  <si>
    <t xml:space="preserve">4076</t>
  </si>
  <si>
    <t xml:space="preserve">EDUARDO VINICIUS SIMONATO</t>
  </si>
  <si>
    <t xml:space="preserve">FABIO JOSE DE MENEZES</t>
  </si>
  <si>
    <t xml:space="preserve">8234</t>
  </si>
  <si>
    <t xml:space="preserve">ADENILDO SANTANA</t>
  </si>
  <si>
    <t xml:space="preserve">PAGAMENTO JUNTO COM A ESPOSA KATIA E HINTZ</t>
  </si>
  <si>
    <t xml:space="preserve">KATIA EMANUELLE HINTZ</t>
  </si>
  <si>
    <t xml:space="preserve">PAGAMENTO JUNTO COM O ESPOSO ADENILDO SANTANA</t>
  </si>
  <si>
    <t xml:space="preserve">5908</t>
  </si>
  <si>
    <t xml:space="preserve">ISABEL CRISTINA TELLES BORGES</t>
  </si>
  <si>
    <t xml:space="preserve">1094</t>
  </si>
  <si>
    <t xml:space="preserve">MATEUS BIANCHEZZI DE OLIVEIRA</t>
  </si>
  <si>
    <t xml:space="preserve">8264</t>
  </si>
  <si>
    <t xml:space="preserve">ALINE RODRIGUES VARGAS</t>
  </si>
  <si>
    <t xml:space="preserve">0123</t>
  </si>
  <si>
    <t xml:space="preserve">JUNIA ADVICO LOPES</t>
  </si>
  <si>
    <t xml:space="preserve">MELINA CRISTINA SILVA DALMAS</t>
  </si>
  <si>
    <t xml:space="preserve">1615</t>
  </si>
  <si>
    <t xml:space="preserve">KATEUSA DA CRUZ</t>
  </si>
  <si>
    <t xml:space="preserve">NP EM ABERTO </t>
  </si>
  <si>
    <t xml:space="preserve">RAFAEL SASSI</t>
  </si>
  <si>
    <t xml:space="preserve">0215</t>
  </si>
  <si>
    <t xml:space="preserve">ILDA CARLA BERNARDI</t>
  </si>
  <si>
    <t xml:space="preserve">8131</t>
  </si>
  <si>
    <t xml:space="preserve">NELSON ALEX MIRANDA</t>
  </si>
  <si>
    <t xml:space="preserve">3089</t>
  </si>
  <si>
    <t xml:space="preserve">MARCIO LUIS BERNHARDET</t>
  </si>
  <si>
    <t xml:space="preserve">PAGAMENTO JUNTO COM A ESPOSA JANETE LIBERO</t>
  </si>
  <si>
    <t xml:space="preserve">JANETE LIBERO</t>
  </si>
  <si>
    <t xml:space="preserve">PAMENTO JUNTO COM O ESPOSO MARCIO L BERNHARDET</t>
  </si>
  <si>
    <t xml:space="preserve">0280</t>
  </si>
  <si>
    <t xml:space="preserve">3996</t>
  </si>
  <si>
    <t xml:space="preserve">RICARDO SILVA GONCALVES</t>
  </si>
  <si>
    <t xml:space="preserve">MAIKOL KOCH</t>
  </si>
  <si>
    <t xml:space="preserve">5536</t>
  </si>
  <si>
    <t xml:space="preserve">ZENAIDE SCHLICKMANN SOETHE</t>
  </si>
  <si>
    <t xml:space="preserve">0208</t>
  </si>
  <si>
    <t xml:space="preserve">VALMOR JOSE TELLES JUNIOR</t>
  </si>
  <si>
    <t xml:space="preserve">4115</t>
  </si>
  <si>
    <t xml:space="preserve">PATRICIA KELLI DA SILVA MICHEL</t>
  </si>
  <si>
    <t xml:space="preserve">MARCEL FERNANDO MICHEL</t>
  </si>
  <si>
    <t xml:space="preserve">ANA LÚCIA DOS SANTOS CARMINATTI</t>
  </si>
  <si>
    <t xml:space="preserve">Visa 2x | Visa 4x | ,,</t>
  </si>
  <si>
    <t xml:space="preserve">Visa 2x</t>
  </si>
  <si>
    <t xml:space="preserve">ADMAR REFFATTI</t>
  </si>
  <si>
    <t xml:space="preserve">LARAÍNE CASTRO CORREA</t>
  </si>
  <si>
    <t xml:space="preserve">Mastercard 2x | Mastercard 1x</t>
  </si>
  <si>
    <t xml:space="preserve">Tratamento em andamento</t>
  </si>
  <si>
    <t xml:space="preserve">Mastercard 1x</t>
  </si>
  <si>
    <t xml:space="preserve">MARCIANA BELLENZIER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</si>
</sst>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-&quot;R$ &quot;* #,##0.00_-;&quot;-R$ &quot;* #,##0.00_-;_-&quot;R$ &quot;* \-??_-;_-@"/>
    <numFmt numFmtId="166" formatCode="@"/>
    <numFmt numFmtId="167" formatCode="mmmm\.yyyy"/>
    <numFmt numFmtId="168" formatCode="_-&quot;R$ &quot;* #,##0.00_-;&quot;-R$ &quot;* #,##0.00_-;_-&quot;R$ &quot;* \-??_-;_-@_-"/>
    <numFmt numFmtId="169" formatCode="0.00%"/>
    <numFmt numFmtId="170" formatCode="dd/mm/yy"/>
    <numFmt numFmtId="171" formatCode="d/m/yyyy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b val="true"/>
      <sz val="11"/>
      <color theme="1"/>
      <name val="Aptos Narrow"/>
      <family val="2"/>
      <charset val="1"/>
    </font>
    <font>
      <sz val="11"/>
      <color theme="1"/>
      <name val="Aptos Narrow"/>
      <family val="2"/>
      <charset val="1"/>
    </font>
    <font>
      <sz val="11"/>
      <color rgb="FF7F7F7F"/>
      <name val="Arial"/>
      <family val="2"/>
      <charset val="1"/>
    </font>
    <font>
      <b val="true"/>
      <sz val="11"/>
      <color theme="1"/>
      <name val="Calibri"/>
      <family val="2"/>
      <charset val="1"/>
    </font>
    <font>
      <sz val="11"/>
      <name val="Aptos Narrow"/>
      <family val="2"/>
      <charset val="1"/>
    </font>
    <font>
      <b val="true"/>
      <sz val="18"/>
      <color theme="1"/>
      <name val="Calibri"/>
      <family val="2"/>
      <charset val="1"/>
    </font>
    <font>
      <b val="true"/>
      <sz val="11"/>
      <name val="Aptos Narrow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7F7F7F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1"/>
      <name val="Calibri"/>
      <family val="2"/>
      <charset val="1"/>
    </font>
    <font>
      <sz val="11"/>
      <color rgb="FFFF0000"/>
      <name val="Arial"/>
      <family val="2"/>
      <charset val="1"/>
    </font>
    <font>
      <sz val="11"/>
      <color rgb="FFFF00FF"/>
      <name val="Calibri"/>
      <family val="2"/>
      <charset val="1"/>
    </font>
    <font>
      <sz val="11"/>
      <color rgb="FF2F5496"/>
      <name val="Calibri"/>
      <family val="2"/>
      <charset val="1"/>
    </font>
    <font>
      <sz val="10"/>
      <color theme="1"/>
      <name val="Arial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8ED873"/>
        <bgColor rgb="FF8ED973"/>
      </patternFill>
    </fill>
    <fill>
      <patternFill patternType="solid">
        <fgColor theme="9" tint="0.3999"/>
        <bgColor rgb="FF8ED873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A5A5A5"/>
        <bgColor rgb="FF9999FF"/>
      </patternFill>
    </fill>
    <fill>
      <patternFill patternType="solid">
        <fgColor rgb="FFBDD6EE"/>
        <bgColor rgb="FFD9E2F3"/>
      </patternFill>
    </fill>
    <fill>
      <patternFill patternType="solid">
        <fgColor rgb="FFFF66FF"/>
        <bgColor rgb="FFFF66CC"/>
      </patternFill>
    </fill>
    <fill>
      <patternFill patternType="solid">
        <fgColor rgb="FFFFC000"/>
        <bgColor rgb="FFF4B083"/>
      </patternFill>
    </fill>
    <fill>
      <patternFill patternType="solid">
        <fgColor rgb="FFFF66CC"/>
        <bgColor rgb="FFFF66FF"/>
      </patternFill>
    </fill>
    <fill>
      <patternFill patternType="solid">
        <fgColor rgb="FFF4B083"/>
        <bgColor rgb="FFF4B2DE"/>
      </patternFill>
    </fill>
    <fill>
      <patternFill patternType="solid">
        <fgColor rgb="FFF4B2DE"/>
        <bgColor rgb="FFF2CFEE"/>
      </patternFill>
    </fill>
    <fill>
      <patternFill patternType="solid">
        <fgColor theme="8" tint="0.7999"/>
        <bgColor rgb="FFD9E2F3"/>
      </patternFill>
    </fill>
    <fill>
      <patternFill patternType="solid">
        <fgColor rgb="FFFFE598"/>
        <bgColor rgb="FFFFFF99"/>
      </patternFill>
    </fill>
    <fill>
      <patternFill patternType="solid">
        <fgColor rgb="FFDEEAF6"/>
        <bgColor rgb="FFD9E2F3"/>
      </patternFill>
    </fill>
    <fill>
      <patternFill patternType="solid">
        <fgColor rgb="FFD9E2F3"/>
        <bgColor rgb="FFDEEAF6"/>
      </patternFill>
    </fill>
    <fill>
      <patternFill patternType="solid">
        <fgColor rgb="FFE2EFD9"/>
        <bgColor rgb="FFDEEAF6"/>
      </patternFill>
    </fill>
    <fill>
      <patternFill patternType="solid">
        <fgColor rgb="FFFF6B6B"/>
        <bgColor rgb="FFFF66CC"/>
      </patternFill>
    </fill>
  </fills>
  <borders count="19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 style="dotted"/>
      <top/>
      <bottom style="dotted"/>
      <diagonal/>
    </border>
    <border diagonalUp="false" diagonalDown="false">
      <left style="dotted"/>
      <right style="dotted"/>
      <top/>
      <bottom style="dotted"/>
      <diagonal/>
    </border>
    <border diagonalUp="false" diagonalDown="false">
      <left style="dotted"/>
      <right style="dotted"/>
      <top style="dotted"/>
      <bottom style="dotted"/>
      <diagonal/>
    </border>
    <border diagonalUp="false" diagonalDown="false">
      <left/>
      <right style="dotted"/>
      <top style="dotted"/>
      <bottom style="dotted"/>
      <diagonal/>
    </border>
    <border diagonalUp="false" diagonalDown="false">
      <left/>
      <right style="dotted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/>
      <bottom style="dotted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 style="dotted"/>
      <diagonal/>
    </border>
    <border diagonalUp="false" diagonalDown="false">
      <left style="thin"/>
      <right style="thin"/>
      <top/>
      <bottom style="dotted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7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8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8" fillId="8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9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1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11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11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11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7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1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7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1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13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0" fillId="1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6" fillId="1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4" fillId="14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14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14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8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7" fillId="14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15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16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16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4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15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3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16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16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14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14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14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8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7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4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" fillId="1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1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1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1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17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17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1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17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14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14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1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14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14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14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14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14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1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4" fillId="14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8" fillId="1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8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14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" fillId="14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14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17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17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17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14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14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14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1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14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17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4" fillId="14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0" fillId="14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0" fillId="14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14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17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17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17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14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14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14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4" fillId="14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4" fillId="14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0" fillId="18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8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18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FFE59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66FF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8ED973"/>
          <bgColor rgb="FF000000"/>
        </patternFill>
      </fill>
    </dxf>
    <dxf>
      <fill>
        <patternFill patternType="solid">
          <fgColor rgb="FFDEEAF6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6B6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2CFEE"/>
      <rgbColor rgb="FF7F7F7F"/>
      <rgbColor rgb="FF9999FF"/>
      <rgbColor rgb="FF993366"/>
      <rgbColor rgb="FFFFFFCC"/>
      <rgbColor rgb="FFDEEAF6"/>
      <rgbColor rgb="FF660066"/>
      <rgbColor rgb="FFFF6B6B"/>
      <rgbColor rgb="FF0066CC"/>
      <rgbColor rgb="FFBDD6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E2EFD9"/>
      <rgbColor rgb="FFFFFF99"/>
      <rgbColor rgb="FF8ED973"/>
      <rgbColor rgb="FFF4B2DE"/>
      <rgbColor rgb="FFFF66FF"/>
      <rgbColor rgb="FFFFE598"/>
      <rgbColor rgb="FF3366FF"/>
      <rgbColor rgb="FF33CCCC"/>
      <rgbColor rgb="FF8ED873"/>
      <rgbColor rgb="FFFFC000"/>
      <rgbColor rgb="FFF4B083"/>
      <rgbColor rgb="FFFF66CC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E18" activeCellId="0" sqref="E18"/>
    </sheetView>
  </sheetViews>
  <sheetFormatPr defaultColWidth="12.57421875" defaultRowHeight="15" customHeight="false" zeroHeight="false" outlineLevelRow="0" outlineLevelCol="0"/>
  <cols>
    <col collapsed="false" customWidth="true" hidden="false" outlineLevel="0" max="1" min="1" style="0" width="11.28"/>
    <col collapsed="false" customWidth="true" hidden="false" outlineLevel="0" max="2" min="2" style="0" width="54.14"/>
    <col collapsed="false" customWidth="true" hidden="false" outlineLevel="0" max="3" min="3" style="0" width="6.7"/>
    <col collapsed="false" customWidth="true" hidden="false" outlineLevel="0" max="4" min="4" style="0" width="14.14"/>
    <col collapsed="false" customWidth="true" hidden="false" outlineLevel="0" max="5" min="5" style="0" width="18.7"/>
    <col collapsed="false" customWidth="true" hidden="false" outlineLevel="0" max="6" min="6" style="0" width="16"/>
    <col collapsed="false" customWidth="true" hidden="false" outlineLevel="0" max="7" min="7" style="0" width="14.14"/>
    <col collapsed="false" customWidth="true" hidden="false" outlineLevel="0" max="8" min="8" style="0" width="15"/>
    <col collapsed="false" customWidth="true" hidden="false" outlineLevel="0" max="9" min="9" style="0" width="14.29"/>
    <col collapsed="false" customWidth="true" hidden="false" outlineLevel="0" max="10" min="10" style="0" width="15.72"/>
    <col collapsed="false" customWidth="true" hidden="false" outlineLevel="0" max="13" min="11" style="0" width="15"/>
    <col collapsed="false" customWidth="true" hidden="false" outlineLevel="0" max="14" min="14" style="0" width="13.71"/>
    <col collapsed="false" customWidth="true" hidden="false" outlineLevel="0" max="15" min="15" style="0" width="12.86"/>
    <col collapsed="false" customWidth="true" hidden="false" outlineLevel="0" max="16" min="16" style="0" width="15.43"/>
    <col collapsed="false" customWidth="true" hidden="false" outlineLevel="0" max="17" min="17" style="0" width="15"/>
    <col collapsed="false" customWidth="true" hidden="false" outlineLevel="0" max="18" min="18" style="0" width="16.43"/>
    <col collapsed="false" customWidth="true" hidden="false" outlineLevel="0" max="21" min="19" style="0" width="15.28"/>
    <col collapsed="false" customWidth="true" hidden="false" outlineLevel="0" max="22" min="22" style="0" width="14.57"/>
    <col collapsed="false" customWidth="true" hidden="false" outlineLevel="0" max="23" min="23" style="0" width="15"/>
    <col collapsed="false" customWidth="true" hidden="false" outlineLevel="0" max="24" min="24" style="0" width="15.86"/>
    <col collapsed="false" customWidth="true" hidden="false" outlineLevel="0" max="25" min="25" style="0" width="14.14"/>
    <col collapsed="false" customWidth="true" hidden="false" outlineLevel="0" max="26" min="26" style="0" width="16.72"/>
    <col collapsed="false" customWidth="true" hidden="false" outlineLevel="0" max="28" min="27" style="0" width="16.14"/>
    <col collapsed="false" customWidth="true" hidden="false" outlineLevel="0" max="29" min="29" style="0" width="15.86"/>
    <col collapsed="false" customWidth="true" hidden="false" outlineLevel="0" max="30" min="30" style="0" width="14.86"/>
    <col collapsed="false" customWidth="true" hidden="false" outlineLevel="0" max="31" min="31" style="0" width="16.14"/>
    <col collapsed="false" customWidth="true" hidden="false" outlineLevel="0" max="32" min="32" style="0" width="15"/>
    <col collapsed="false" customWidth="true" hidden="false" outlineLevel="0" max="33" min="33" style="0" width="55.72"/>
    <col collapsed="false" customWidth="true" hidden="false" outlineLevel="0" max="34" min="34" style="0" width="11.15"/>
  </cols>
  <sheetData>
    <row r="1" customFormat="false" ht="15" hidden="false" customHeight="true" outlineLevel="0" collapsed="false">
      <c r="A1" s="1"/>
      <c r="B1" s="1"/>
      <c r="D1" s="2"/>
      <c r="P1" s="3"/>
      <c r="Q1" s="4" t="s">
        <v>0</v>
      </c>
      <c r="R1" s="5" t="s">
        <v>1</v>
      </c>
      <c r="Z1" s="6"/>
      <c r="AA1" s="7"/>
      <c r="AB1" s="7"/>
      <c r="AH1" s="8"/>
    </row>
    <row r="2" customFormat="false" ht="15.75" hidden="false" customHeight="true" outlineLevel="0" collapsed="false">
      <c r="A2" s="1"/>
      <c r="B2" s="1"/>
      <c r="C2" s="9"/>
      <c r="D2" s="10" t="n">
        <f aca="false">SUM(D5+E5)</f>
        <v>466523.09</v>
      </c>
      <c r="E2" s="11" t="s">
        <v>2</v>
      </c>
      <c r="F2" s="11"/>
      <c r="G2" s="12"/>
      <c r="H2" s="13"/>
      <c r="I2" s="13"/>
      <c r="J2" s="13"/>
      <c r="K2" s="13"/>
      <c r="L2" s="13"/>
      <c r="M2" s="14"/>
      <c r="N2" s="15"/>
      <c r="O2" s="16" t="s">
        <v>3</v>
      </c>
      <c r="P2" s="17" t="n">
        <f aca="false">SUM(D5+G5+H5+I5+J5+K5+L5+M5+N5+O5)</f>
        <v>466523.09</v>
      </c>
      <c r="Q2" s="18" t="n">
        <f aca="false">X2-AA5-AB5-AC5-AD5</f>
        <v>460059.9</v>
      </c>
      <c r="R2" s="19" t="s">
        <v>4</v>
      </c>
      <c r="S2" s="19"/>
      <c r="T2" s="20"/>
      <c r="U2" s="20"/>
      <c r="V2" s="16" t="s">
        <v>3</v>
      </c>
      <c r="W2" s="16"/>
      <c r="X2" s="17" t="n">
        <f aca="false">SUM(Q5:Y5)</f>
        <v>475579.13</v>
      </c>
      <c r="Y2" s="17"/>
      <c r="Z2" s="21"/>
      <c r="AA2" s="20"/>
      <c r="AB2" s="20"/>
      <c r="AC2" s="14"/>
      <c r="AD2" s="14"/>
      <c r="AE2" s="14"/>
      <c r="AF2" s="14"/>
      <c r="AG2" s="14"/>
      <c r="AH2" s="8"/>
    </row>
    <row r="3" customFormat="false" ht="15" hidden="false" customHeight="true" outlineLevel="0" collapsed="false">
      <c r="A3" s="1"/>
      <c r="B3" s="22" t="n">
        <v>46023</v>
      </c>
      <c r="C3" s="23"/>
      <c r="D3" s="24"/>
      <c r="E3" s="25" t="s">
        <v>5</v>
      </c>
      <c r="F3" s="26"/>
      <c r="G3" s="24"/>
      <c r="H3" s="24"/>
      <c r="I3" s="24"/>
      <c r="J3" s="24"/>
      <c r="K3" s="24"/>
      <c r="L3" s="24"/>
      <c r="M3" s="24"/>
      <c r="N3" s="24"/>
      <c r="O3" s="27" t="n">
        <f aca="false">P2-P3</f>
        <v>0</v>
      </c>
      <c r="P3" s="28" t="n">
        <f aca="false">D5+E5</f>
        <v>466523.09</v>
      </c>
      <c r="Q3" s="29" t="s">
        <v>6</v>
      </c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30"/>
    </row>
    <row r="4" customFormat="false" ht="15" hidden="false" customHeight="true" outlineLevel="0" collapsed="false">
      <c r="A4" s="1"/>
      <c r="B4" s="22"/>
      <c r="C4" s="31"/>
      <c r="D4" s="32" t="s">
        <v>7</v>
      </c>
      <c r="E4" s="25"/>
      <c r="F4" s="33" t="s">
        <v>8</v>
      </c>
      <c r="G4" s="32" t="s">
        <v>9</v>
      </c>
      <c r="H4" s="32" t="s">
        <v>10</v>
      </c>
      <c r="I4" s="32" t="s">
        <v>11</v>
      </c>
      <c r="J4" s="32" t="s">
        <v>12</v>
      </c>
      <c r="K4" s="32" t="s">
        <v>13</v>
      </c>
      <c r="L4" s="32" t="s">
        <v>14</v>
      </c>
      <c r="M4" s="32" t="s">
        <v>15</v>
      </c>
      <c r="N4" s="32" t="s">
        <v>16</v>
      </c>
      <c r="O4" s="32" t="s">
        <v>17</v>
      </c>
      <c r="P4" s="34" t="s">
        <v>18</v>
      </c>
      <c r="Q4" s="35" t="s">
        <v>19</v>
      </c>
      <c r="R4" s="35" t="s">
        <v>20</v>
      </c>
      <c r="S4" s="35" t="s">
        <v>21</v>
      </c>
      <c r="T4" s="35" t="s">
        <v>22</v>
      </c>
      <c r="U4" s="35" t="s">
        <v>23</v>
      </c>
      <c r="V4" s="35" t="s">
        <v>24</v>
      </c>
      <c r="W4" s="36" t="s">
        <v>25</v>
      </c>
      <c r="X4" s="35" t="s">
        <v>26</v>
      </c>
      <c r="Y4" s="35" t="s">
        <v>20</v>
      </c>
      <c r="Z4" s="37" t="s">
        <v>27</v>
      </c>
      <c r="AA4" s="38" t="s">
        <v>28</v>
      </c>
      <c r="AB4" s="38" t="s">
        <v>29</v>
      </c>
      <c r="AC4" s="38" t="s">
        <v>30</v>
      </c>
      <c r="AD4" s="38" t="s">
        <v>18</v>
      </c>
      <c r="AE4" s="39" t="s">
        <v>31</v>
      </c>
      <c r="AF4" s="39" t="s">
        <v>26</v>
      </c>
      <c r="AG4" s="40" t="s">
        <v>32</v>
      </c>
      <c r="AH4" s="41" t="s">
        <v>33</v>
      </c>
    </row>
    <row r="5" customFormat="false" ht="15.75" hidden="false" customHeight="true" outlineLevel="0" collapsed="false">
      <c r="A5" s="1"/>
      <c r="B5" s="22"/>
      <c r="C5" s="31"/>
      <c r="D5" s="42" t="n">
        <f aca="false">SUM(D8:D198)</f>
        <v>19300</v>
      </c>
      <c r="E5" s="43" t="n">
        <f aca="false">SUM(E8:E198)</f>
        <v>447223.09</v>
      </c>
      <c r="F5" s="43"/>
      <c r="G5" s="44" t="n">
        <f aca="false">SUM(G8:G198)</f>
        <v>3680</v>
      </c>
      <c r="H5" s="44" t="n">
        <f aca="false">SUM(H8:H198)</f>
        <v>57078.66</v>
      </c>
      <c r="I5" s="44" t="n">
        <f aca="false">SUM(I8:I198)</f>
        <v>61142.5</v>
      </c>
      <c r="J5" s="44" t="n">
        <f aca="false">SUM(J8:J198)</f>
        <v>165515</v>
      </c>
      <c r="K5" s="44" t="n">
        <f aca="false">SUM(K8:K198)</f>
        <v>140321.65</v>
      </c>
      <c r="L5" s="44" t="n">
        <f aca="false">SUM(L8:L198)</f>
        <v>4750</v>
      </c>
      <c r="M5" s="44" t="n">
        <f aca="false">SUM(M8:M198)</f>
        <v>12735.28</v>
      </c>
      <c r="N5" s="44" t="n">
        <f aca="false">SUM(N8:N198)</f>
        <v>2000</v>
      </c>
      <c r="O5" s="44" t="n">
        <f aca="false">SUM(O8:O198)</f>
        <v>0</v>
      </c>
      <c r="P5" s="44" t="n">
        <f aca="false">SUM(P8:P198)</f>
        <v>0</v>
      </c>
      <c r="Q5" s="45" t="n">
        <f aca="false">SUM(Q8:Q198)</f>
        <v>41730</v>
      </c>
      <c r="R5" s="45" t="n">
        <f aca="false">SUM(R8:R198)</f>
        <v>167804.91</v>
      </c>
      <c r="S5" s="45" t="n">
        <f aca="false">SUM(S8:S198)</f>
        <v>21266</v>
      </c>
      <c r="T5" s="45" t="n">
        <f aca="false">SUM(T8:T198)</f>
        <v>10792</v>
      </c>
      <c r="U5" s="45" t="n">
        <f aca="false">SUM(U8:U198)</f>
        <v>102634.3</v>
      </c>
      <c r="V5" s="45" t="n">
        <f aca="false">SUM(V8:V198)</f>
        <v>94516.96</v>
      </c>
      <c r="W5" s="44" t="n">
        <f aca="false">SUM(W8:W198)</f>
        <v>10140.88</v>
      </c>
      <c r="X5" s="44" t="n">
        <f aca="false">SUM(X8:X198)</f>
        <v>26694.08</v>
      </c>
      <c r="Y5" s="44" t="n">
        <f aca="false">SUM(Y8:Y198)</f>
        <v>0</v>
      </c>
      <c r="Z5" s="44" t="n">
        <f aca="false">SUM(Z8:Z198)</f>
        <v>3573.91</v>
      </c>
      <c r="AA5" s="44" t="n">
        <v>9681.92</v>
      </c>
      <c r="AB5" s="44" t="n">
        <v>4451.32</v>
      </c>
      <c r="AC5" s="44" t="n">
        <v>1265.99</v>
      </c>
      <c r="AD5" s="44" t="n">
        <f aca="false">SUM(AD8:AD198)</f>
        <v>120</v>
      </c>
      <c r="AE5" s="44" t="n">
        <f aca="false">SUM(AE8:AE198)</f>
        <v>49133</v>
      </c>
      <c r="AF5" s="44" t="n">
        <f aca="false">SUM(AF8:AF198)</f>
        <v>0</v>
      </c>
      <c r="AG5" s="44"/>
      <c r="AH5" s="46"/>
    </row>
    <row r="6" customFormat="false" ht="15.75" hidden="false" customHeight="true" outlineLevel="0" collapsed="false">
      <c r="A6" s="1"/>
      <c r="B6" s="47"/>
      <c r="C6" s="48"/>
      <c r="D6" s="48"/>
      <c r="E6" s="48"/>
      <c r="F6" s="49" t="n">
        <f aca="false">SUM(F8:F206)</f>
        <v>13640.95</v>
      </c>
      <c r="G6" s="48"/>
      <c r="H6" s="48"/>
      <c r="I6" s="48"/>
      <c r="J6" s="48"/>
      <c r="K6" s="48"/>
      <c r="L6" s="50"/>
      <c r="M6" s="50"/>
      <c r="N6" s="48"/>
      <c r="O6" s="50"/>
      <c r="P6" s="50"/>
      <c r="Q6" s="51" t="n">
        <v>41730</v>
      </c>
      <c r="R6" s="52" t="n">
        <v>167804.91</v>
      </c>
      <c r="S6" s="52" t="n">
        <v>21266</v>
      </c>
      <c r="T6" s="52" t="n">
        <v>10792</v>
      </c>
      <c r="U6" s="52" t="n">
        <v>102634.3</v>
      </c>
      <c r="V6" s="51" t="n">
        <v>94516.96</v>
      </c>
      <c r="W6" s="53" t="n">
        <v>10140.88</v>
      </c>
      <c r="X6" s="54" t="n">
        <v>26694.08</v>
      </c>
      <c r="Y6" s="50"/>
      <c r="Z6" s="55"/>
      <c r="AA6" s="56"/>
      <c r="AB6" s="56"/>
      <c r="AC6" s="56"/>
      <c r="AD6" s="57"/>
      <c r="AE6" s="48"/>
      <c r="AF6" s="48"/>
      <c r="AG6" s="48"/>
      <c r="AH6" s="58"/>
    </row>
    <row r="7" customFormat="false" ht="15.75" hidden="false" customHeight="true" outlineLevel="0" collapsed="false">
      <c r="A7" s="59" t="s">
        <v>34</v>
      </c>
      <c r="B7" s="60" t="s">
        <v>35</v>
      </c>
      <c r="C7" s="59" t="s">
        <v>36</v>
      </c>
      <c r="D7" s="59" t="s">
        <v>7</v>
      </c>
      <c r="E7" s="59" t="s">
        <v>37</v>
      </c>
      <c r="F7" s="59"/>
      <c r="G7" s="59" t="s">
        <v>9</v>
      </c>
      <c r="H7" s="59" t="s">
        <v>10</v>
      </c>
      <c r="I7" s="59" t="s">
        <v>38</v>
      </c>
      <c r="J7" s="59" t="s">
        <v>12</v>
      </c>
      <c r="K7" s="59" t="s">
        <v>13</v>
      </c>
      <c r="L7" s="59" t="s">
        <v>14</v>
      </c>
      <c r="M7" s="59" t="s">
        <v>15</v>
      </c>
      <c r="N7" s="59" t="s">
        <v>16</v>
      </c>
      <c r="O7" s="59" t="s">
        <v>39</v>
      </c>
      <c r="P7" s="59" t="s">
        <v>18</v>
      </c>
      <c r="Q7" s="59" t="s">
        <v>19</v>
      </c>
      <c r="R7" s="59" t="s">
        <v>20</v>
      </c>
      <c r="S7" s="59" t="s">
        <v>21</v>
      </c>
      <c r="T7" s="59" t="s">
        <v>22</v>
      </c>
      <c r="U7" s="59" t="s">
        <v>23</v>
      </c>
      <c r="V7" s="59" t="s">
        <v>40</v>
      </c>
      <c r="W7" s="59" t="s">
        <v>41</v>
      </c>
      <c r="X7" s="59" t="s">
        <v>26</v>
      </c>
      <c r="Y7" s="59"/>
      <c r="Z7" s="59" t="s">
        <v>42</v>
      </c>
      <c r="AA7" s="59" t="s">
        <v>28</v>
      </c>
      <c r="AB7" s="59" t="s">
        <v>29</v>
      </c>
      <c r="AC7" s="59" t="s">
        <v>30</v>
      </c>
      <c r="AD7" s="59" t="s">
        <v>18</v>
      </c>
      <c r="AE7" s="59" t="s">
        <v>43</v>
      </c>
      <c r="AF7" s="59" t="s">
        <v>26</v>
      </c>
      <c r="AG7" s="59"/>
      <c r="AH7" s="59" t="s">
        <v>44</v>
      </c>
    </row>
    <row r="8" customFormat="false" ht="15" hidden="false" customHeight="true" outlineLevel="0" collapsed="false">
      <c r="A8" s="61" t="n">
        <v>46027</v>
      </c>
      <c r="B8" s="61" t="s">
        <v>45</v>
      </c>
      <c r="C8" s="62" t="s">
        <v>46</v>
      </c>
      <c r="D8" s="63" t="n">
        <v>600</v>
      </c>
      <c r="E8" s="64" t="n">
        <v>0</v>
      </c>
      <c r="F8" s="63" t="n">
        <v>0</v>
      </c>
      <c r="G8" s="63" t="n">
        <v>0</v>
      </c>
      <c r="H8" s="63" t="n">
        <v>0</v>
      </c>
      <c r="I8" s="63" t="n">
        <v>0</v>
      </c>
      <c r="J8" s="63" t="n">
        <v>0</v>
      </c>
      <c r="K8" s="63" t="n">
        <v>0</v>
      </c>
      <c r="L8" s="63" t="n">
        <v>0</v>
      </c>
      <c r="M8" s="63" t="n">
        <v>0</v>
      </c>
      <c r="N8" s="63" t="n">
        <v>0</v>
      </c>
      <c r="O8" s="63" t="n">
        <v>0</v>
      </c>
      <c r="P8" s="65" t="n">
        <v>0</v>
      </c>
      <c r="Q8" s="66" t="n">
        <v>0</v>
      </c>
      <c r="R8" s="66" t="n">
        <v>0</v>
      </c>
      <c r="S8" s="66" t="n">
        <v>0</v>
      </c>
      <c r="T8" s="66" t="n">
        <v>0</v>
      </c>
      <c r="U8" s="66" t="n">
        <v>0</v>
      </c>
      <c r="V8" s="67" t="n">
        <v>600</v>
      </c>
      <c r="W8" s="66" t="n">
        <v>0</v>
      </c>
      <c r="X8" s="66" t="n">
        <v>0</v>
      </c>
      <c r="Y8" s="66" t="n">
        <v>0</v>
      </c>
      <c r="Z8" s="66" t="n">
        <v>0</v>
      </c>
      <c r="AA8" s="66" t="n">
        <v>0</v>
      </c>
      <c r="AB8" s="66" t="n">
        <v>0</v>
      </c>
      <c r="AC8" s="66" t="n">
        <v>0</v>
      </c>
      <c r="AD8" s="66" t="n">
        <v>0</v>
      </c>
      <c r="AE8" s="68" t="n">
        <v>0</v>
      </c>
      <c r="AF8" s="69" t="n">
        <v>0</v>
      </c>
      <c r="AG8" s="70"/>
      <c r="AH8" s="71"/>
    </row>
    <row r="9" customFormat="false" ht="15" hidden="false" customHeight="true" outlineLevel="0" collapsed="false">
      <c r="A9" s="61" t="n">
        <v>46027</v>
      </c>
      <c r="B9" s="61" t="s">
        <v>47</v>
      </c>
      <c r="C9" s="62" t="s">
        <v>48</v>
      </c>
      <c r="D9" s="63" t="n">
        <v>0</v>
      </c>
      <c r="E9" s="64" t="n">
        <v>0</v>
      </c>
      <c r="F9" s="63" t="n">
        <v>0</v>
      </c>
      <c r="G9" s="63" t="n">
        <v>0</v>
      </c>
      <c r="H9" s="63" t="n">
        <v>0</v>
      </c>
      <c r="I9" s="63" t="n">
        <v>0</v>
      </c>
      <c r="J9" s="63" t="n">
        <v>0</v>
      </c>
      <c r="K9" s="63" t="n">
        <v>0</v>
      </c>
      <c r="L9" s="63" t="n">
        <v>0</v>
      </c>
      <c r="M9" s="63" t="n">
        <v>0</v>
      </c>
      <c r="N9" s="63" t="n">
        <v>0</v>
      </c>
      <c r="O9" s="63" t="n">
        <v>0</v>
      </c>
      <c r="P9" s="65" t="n">
        <v>0</v>
      </c>
      <c r="Q9" s="72" t="n">
        <v>0</v>
      </c>
      <c r="R9" s="72" t="n">
        <v>0</v>
      </c>
      <c r="S9" s="72" t="n">
        <v>0</v>
      </c>
      <c r="T9" s="72" t="n">
        <v>0</v>
      </c>
      <c r="U9" s="72" t="n">
        <v>0</v>
      </c>
      <c r="V9" s="73" t="n">
        <v>120</v>
      </c>
      <c r="W9" s="72" t="n">
        <v>0</v>
      </c>
      <c r="X9" s="72" t="n">
        <v>0</v>
      </c>
      <c r="Y9" s="72" t="n">
        <v>0</v>
      </c>
      <c r="Z9" s="72" t="n">
        <v>0</v>
      </c>
      <c r="AA9" s="72" t="n">
        <v>0</v>
      </c>
      <c r="AB9" s="72" t="n">
        <v>0</v>
      </c>
      <c r="AC9" s="72" t="n">
        <v>0</v>
      </c>
      <c r="AD9" s="72" t="n">
        <v>0</v>
      </c>
      <c r="AE9" s="74" t="n">
        <v>0</v>
      </c>
      <c r="AF9" s="75" t="n">
        <v>0</v>
      </c>
      <c r="AG9" s="70"/>
      <c r="AH9" s="71"/>
    </row>
    <row r="10" customFormat="false" ht="15" hidden="false" customHeight="true" outlineLevel="0" collapsed="false">
      <c r="A10" s="61" t="n">
        <v>46027</v>
      </c>
      <c r="B10" s="61" t="s">
        <v>49</v>
      </c>
      <c r="C10" s="62"/>
      <c r="D10" s="63" t="n">
        <v>0</v>
      </c>
      <c r="E10" s="64" t="n">
        <v>250</v>
      </c>
      <c r="F10" s="63" t="n">
        <v>0</v>
      </c>
      <c r="G10" s="63" t="n">
        <v>0</v>
      </c>
      <c r="H10" s="63" t="n">
        <v>0</v>
      </c>
      <c r="I10" s="63" t="n">
        <v>250</v>
      </c>
      <c r="J10" s="63" t="n">
        <v>0</v>
      </c>
      <c r="K10" s="63" t="n">
        <v>0</v>
      </c>
      <c r="L10" s="63" t="n">
        <v>0</v>
      </c>
      <c r="M10" s="63" t="n">
        <v>0</v>
      </c>
      <c r="N10" s="63" t="n">
        <v>0</v>
      </c>
      <c r="O10" s="63" t="n">
        <v>0</v>
      </c>
      <c r="P10" s="65" t="n">
        <v>0</v>
      </c>
      <c r="Q10" s="72" t="n">
        <v>0</v>
      </c>
      <c r="R10" s="72" t="n">
        <v>0</v>
      </c>
      <c r="S10" s="72" t="n">
        <v>0</v>
      </c>
      <c r="T10" s="72" t="n">
        <v>0</v>
      </c>
      <c r="U10" s="72" t="n">
        <v>0</v>
      </c>
      <c r="V10" s="73" t="n">
        <v>250</v>
      </c>
      <c r="W10" s="72" t="n">
        <v>0</v>
      </c>
      <c r="X10" s="72" t="n">
        <v>0</v>
      </c>
      <c r="Y10" s="72" t="n">
        <v>0</v>
      </c>
      <c r="Z10" s="72" t="n">
        <v>0</v>
      </c>
      <c r="AA10" s="72" t="n">
        <v>0</v>
      </c>
      <c r="AB10" s="72" t="n">
        <v>0</v>
      </c>
      <c r="AC10" s="72" t="n">
        <v>0</v>
      </c>
      <c r="AD10" s="72" t="n">
        <v>0</v>
      </c>
      <c r="AE10" s="74" t="n">
        <v>0</v>
      </c>
      <c r="AF10" s="75" t="n">
        <v>0</v>
      </c>
      <c r="AG10" s="70" t="s">
        <v>50</v>
      </c>
      <c r="AH10" s="71"/>
    </row>
    <row r="11" customFormat="false" ht="15" hidden="false" customHeight="true" outlineLevel="0" collapsed="false">
      <c r="A11" s="76" t="n">
        <v>46027</v>
      </c>
      <c r="B11" s="76" t="s">
        <v>51</v>
      </c>
      <c r="C11" s="77" t="s">
        <v>48</v>
      </c>
      <c r="D11" s="78" t="n">
        <v>0</v>
      </c>
      <c r="E11" s="79" t="n">
        <v>0</v>
      </c>
      <c r="F11" s="63" t="n">
        <v>0</v>
      </c>
      <c r="G11" s="78" t="n">
        <v>0</v>
      </c>
      <c r="H11" s="78" t="n">
        <v>0</v>
      </c>
      <c r="I11" s="78" t="n">
        <v>0</v>
      </c>
      <c r="J11" s="78" t="n">
        <v>0</v>
      </c>
      <c r="K11" s="78" t="n">
        <v>0</v>
      </c>
      <c r="L11" s="78" t="n">
        <v>0</v>
      </c>
      <c r="M11" s="78"/>
      <c r="N11" s="78" t="n">
        <v>0</v>
      </c>
      <c r="O11" s="78" t="n">
        <v>0</v>
      </c>
      <c r="P11" s="80" t="n">
        <v>0</v>
      </c>
      <c r="Q11" s="72" t="n">
        <v>0</v>
      </c>
      <c r="R11" s="72" t="n">
        <v>0</v>
      </c>
      <c r="S11" s="72" t="n">
        <v>0</v>
      </c>
      <c r="T11" s="72" t="n">
        <v>0</v>
      </c>
      <c r="U11" s="72" t="n">
        <v>0</v>
      </c>
      <c r="V11" s="73" t="n">
        <v>2000</v>
      </c>
      <c r="W11" s="72" t="n">
        <v>0</v>
      </c>
      <c r="X11" s="72" t="n">
        <v>0</v>
      </c>
      <c r="Y11" s="72" t="n">
        <v>0</v>
      </c>
      <c r="Z11" s="72" t="n">
        <v>0</v>
      </c>
      <c r="AA11" s="72" t="n">
        <v>0</v>
      </c>
      <c r="AB11" s="72" t="n">
        <v>0</v>
      </c>
      <c r="AC11" s="72" t="n">
        <v>0</v>
      </c>
      <c r="AD11" s="72" t="n">
        <v>0</v>
      </c>
      <c r="AE11" s="74" t="n">
        <v>0</v>
      </c>
      <c r="AF11" s="75" t="n">
        <v>0</v>
      </c>
      <c r="AG11" s="81"/>
      <c r="AH11" s="71"/>
    </row>
    <row r="12" customFormat="false" ht="15" hidden="false" customHeight="true" outlineLevel="0" collapsed="false">
      <c r="A12" s="76" t="n">
        <v>46027</v>
      </c>
      <c r="B12" s="76" t="s">
        <v>52</v>
      </c>
      <c r="C12" s="77" t="s">
        <v>53</v>
      </c>
      <c r="D12" s="78" t="n">
        <v>0</v>
      </c>
      <c r="E12" s="79" t="n">
        <v>0</v>
      </c>
      <c r="F12" s="63" t="n">
        <v>0</v>
      </c>
      <c r="G12" s="78" t="n">
        <v>0</v>
      </c>
      <c r="H12" s="78" t="n">
        <v>0</v>
      </c>
      <c r="I12" s="78" t="n">
        <v>0</v>
      </c>
      <c r="J12" s="78" t="n">
        <v>0</v>
      </c>
      <c r="K12" s="78" t="n">
        <v>0</v>
      </c>
      <c r="L12" s="78" t="n">
        <v>0</v>
      </c>
      <c r="M12" s="78" t="n">
        <v>0</v>
      </c>
      <c r="N12" s="78" t="n">
        <v>0</v>
      </c>
      <c r="O12" s="78" t="n">
        <v>0</v>
      </c>
      <c r="P12" s="80" t="n">
        <v>0</v>
      </c>
      <c r="Q12" s="72" t="n">
        <v>0</v>
      </c>
      <c r="R12" s="72" t="n">
        <v>0</v>
      </c>
      <c r="S12" s="72" t="n">
        <v>0</v>
      </c>
      <c r="T12" s="72" t="n">
        <v>0</v>
      </c>
      <c r="U12" s="72" t="n">
        <v>0</v>
      </c>
      <c r="V12" s="72" t="n">
        <v>0</v>
      </c>
      <c r="W12" s="72" t="n">
        <v>0</v>
      </c>
      <c r="X12" s="73" t="n">
        <v>835</v>
      </c>
      <c r="Y12" s="72" t="n">
        <v>0</v>
      </c>
      <c r="Z12" s="72" t="n">
        <v>0</v>
      </c>
      <c r="AA12" s="72" t="n">
        <v>0</v>
      </c>
      <c r="AB12" s="72" t="n">
        <v>0</v>
      </c>
      <c r="AC12" s="72" t="n">
        <v>0</v>
      </c>
      <c r="AD12" s="72" t="n">
        <v>0</v>
      </c>
      <c r="AE12" s="74" t="n">
        <v>0</v>
      </c>
      <c r="AF12" s="75" t="n">
        <v>0</v>
      </c>
      <c r="AG12" s="81"/>
      <c r="AH12" s="71"/>
    </row>
    <row r="13" customFormat="false" ht="15" hidden="false" customHeight="true" outlineLevel="0" collapsed="false">
      <c r="A13" s="76" t="n">
        <v>46027</v>
      </c>
      <c r="B13" s="76" t="s">
        <v>54</v>
      </c>
      <c r="C13" s="77" t="s">
        <v>53</v>
      </c>
      <c r="D13" s="78" t="n">
        <v>0</v>
      </c>
      <c r="E13" s="79" t="n">
        <v>0</v>
      </c>
      <c r="F13" s="63" t="n">
        <v>0</v>
      </c>
      <c r="G13" s="78" t="n">
        <v>0</v>
      </c>
      <c r="H13" s="78" t="n">
        <v>0</v>
      </c>
      <c r="I13" s="78" t="n">
        <v>0</v>
      </c>
      <c r="J13" s="78" t="n">
        <v>0</v>
      </c>
      <c r="K13" s="78" t="n">
        <v>0</v>
      </c>
      <c r="L13" s="78" t="n">
        <v>0</v>
      </c>
      <c r="M13" s="78" t="n">
        <v>0</v>
      </c>
      <c r="N13" s="78" t="n">
        <v>0</v>
      </c>
      <c r="O13" s="78" t="n">
        <v>0</v>
      </c>
      <c r="P13" s="80" t="n">
        <v>0</v>
      </c>
      <c r="Q13" s="72" t="n">
        <v>0</v>
      </c>
      <c r="R13" s="72" t="n">
        <v>0</v>
      </c>
      <c r="S13" s="72" t="n">
        <v>0</v>
      </c>
      <c r="T13" s="72" t="n">
        <v>0</v>
      </c>
      <c r="U13" s="72" t="n">
        <v>0</v>
      </c>
      <c r="V13" s="72" t="n">
        <v>0</v>
      </c>
      <c r="W13" s="72" t="n">
        <v>0</v>
      </c>
      <c r="X13" s="73" t="n">
        <v>324.5</v>
      </c>
      <c r="Y13" s="72" t="n">
        <v>0</v>
      </c>
      <c r="Z13" s="72" t="n">
        <v>0</v>
      </c>
      <c r="AA13" s="72" t="n">
        <v>0</v>
      </c>
      <c r="AB13" s="72" t="n">
        <v>0</v>
      </c>
      <c r="AC13" s="72" t="n">
        <v>0</v>
      </c>
      <c r="AD13" s="72" t="n">
        <v>0</v>
      </c>
      <c r="AE13" s="74" t="n">
        <v>0</v>
      </c>
      <c r="AF13" s="75" t="n">
        <v>0</v>
      </c>
      <c r="AG13" s="81"/>
      <c r="AH13" s="71"/>
    </row>
    <row r="14" customFormat="false" ht="15" hidden="false" customHeight="true" outlineLevel="0" collapsed="false">
      <c r="A14" s="76" t="n">
        <v>46027</v>
      </c>
      <c r="B14" s="76" t="s">
        <v>55</v>
      </c>
      <c r="C14" s="77" t="s">
        <v>53</v>
      </c>
      <c r="D14" s="78" t="n">
        <v>0</v>
      </c>
      <c r="E14" s="79" t="n">
        <v>0</v>
      </c>
      <c r="F14" s="63" t="n">
        <v>0</v>
      </c>
      <c r="G14" s="78" t="n">
        <v>0</v>
      </c>
      <c r="H14" s="78" t="n">
        <v>0</v>
      </c>
      <c r="I14" s="78" t="n">
        <v>0</v>
      </c>
      <c r="J14" s="78" t="n">
        <v>0</v>
      </c>
      <c r="K14" s="78" t="n">
        <v>0</v>
      </c>
      <c r="L14" s="78" t="n">
        <v>0</v>
      </c>
      <c r="M14" s="78" t="n">
        <v>0</v>
      </c>
      <c r="N14" s="78" t="n">
        <v>0</v>
      </c>
      <c r="O14" s="78" t="n">
        <v>0</v>
      </c>
      <c r="P14" s="80" t="n">
        <v>0</v>
      </c>
      <c r="Q14" s="72" t="n">
        <v>0</v>
      </c>
      <c r="R14" s="72" t="n">
        <v>0</v>
      </c>
      <c r="S14" s="72" t="n">
        <v>0</v>
      </c>
      <c r="T14" s="72" t="n">
        <v>0</v>
      </c>
      <c r="U14" s="72" t="n">
        <v>0</v>
      </c>
      <c r="V14" s="72" t="n">
        <v>0</v>
      </c>
      <c r="W14" s="72" t="n">
        <v>0</v>
      </c>
      <c r="X14" s="73" t="n">
        <v>1721.65</v>
      </c>
      <c r="Y14" s="72" t="n">
        <v>0</v>
      </c>
      <c r="Z14" s="72" t="n">
        <v>0</v>
      </c>
      <c r="AA14" s="72" t="n">
        <v>0</v>
      </c>
      <c r="AB14" s="72" t="n">
        <v>0</v>
      </c>
      <c r="AC14" s="72" t="n">
        <v>0</v>
      </c>
      <c r="AD14" s="72" t="n">
        <v>0</v>
      </c>
      <c r="AE14" s="74" t="n">
        <v>0</v>
      </c>
      <c r="AF14" s="75" t="n">
        <v>0</v>
      </c>
      <c r="AG14" s="81"/>
      <c r="AH14" s="71"/>
    </row>
    <row r="15" customFormat="false" ht="15" hidden="false" customHeight="true" outlineLevel="0" collapsed="false">
      <c r="A15" s="76" t="n">
        <v>46028</v>
      </c>
      <c r="B15" s="76" t="s">
        <v>56</v>
      </c>
      <c r="C15" s="77" t="s">
        <v>53</v>
      </c>
      <c r="D15" s="78" t="n">
        <v>0</v>
      </c>
      <c r="E15" s="79" t="n">
        <v>0</v>
      </c>
      <c r="F15" s="63" t="n">
        <v>0</v>
      </c>
      <c r="G15" s="78" t="n">
        <v>0</v>
      </c>
      <c r="H15" s="78" t="n">
        <v>0</v>
      </c>
      <c r="I15" s="78" t="n">
        <v>0</v>
      </c>
      <c r="J15" s="78" t="n">
        <v>0</v>
      </c>
      <c r="K15" s="78" t="n">
        <v>0</v>
      </c>
      <c r="L15" s="78" t="n">
        <v>0</v>
      </c>
      <c r="M15" s="78" t="n">
        <v>0</v>
      </c>
      <c r="N15" s="78" t="n">
        <v>0</v>
      </c>
      <c r="O15" s="78" t="n">
        <v>0</v>
      </c>
      <c r="P15" s="80" t="n">
        <v>0</v>
      </c>
      <c r="Q15" s="72" t="n">
        <v>0</v>
      </c>
      <c r="R15" s="72" t="n">
        <v>0</v>
      </c>
      <c r="S15" s="72" t="n">
        <v>0</v>
      </c>
      <c r="T15" s="73" t="n">
        <v>2000</v>
      </c>
      <c r="U15" s="72" t="n">
        <v>0</v>
      </c>
      <c r="V15" s="72" t="n">
        <v>0</v>
      </c>
      <c r="W15" s="72" t="n">
        <v>0</v>
      </c>
      <c r="X15" s="72" t="n">
        <v>0</v>
      </c>
      <c r="Y15" s="72" t="n">
        <v>0</v>
      </c>
      <c r="Z15" s="72" t="n">
        <v>0</v>
      </c>
      <c r="AA15" s="72" t="n">
        <v>0</v>
      </c>
      <c r="AB15" s="72" t="n">
        <v>0</v>
      </c>
      <c r="AC15" s="72" t="n">
        <v>0</v>
      </c>
      <c r="AD15" s="72" t="n">
        <v>0</v>
      </c>
      <c r="AE15" s="74" t="n">
        <v>0</v>
      </c>
      <c r="AF15" s="75" t="n">
        <v>0</v>
      </c>
      <c r="AG15" s="81" t="s">
        <v>57</v>
      </c>
      <c r="AH15" s="71"/>
    </row>
    <row r="16" customFormat="false" ht="15" hidden="false" customHeight="true" outlineLevel="0" collapsed="false">
      <c r="A16" s="76" t="n">
        <v>46028</v>
      </c>
      <c r="B16" s="76" t="s">
        <v>58</v>
      </c>
      <c r="C16" s="77" t="s">
        <v>53</v>
      </c>
      <c r="D16" s="78" t="n">
        <v>0</v>
      </c>
      <c r="E16" s="79" t="n">
        <v>0</v>
      </c>
      <c r="F16" s="63" t="n">
        <v>0</v>
      </c>
      <c r="G16" s="78" t="n">
        <v>0</v>
      </c>
      <c r="H16" s="78" t="n">
        <v>0</v>
      </c>
      <c r="I16" s="78" t="n">
        <v>0</v>
      </c>
      <c r="J16" s="78" t="n">
        <v>0</v>
      </c>
      <c r="K16" s="78" t="n">
        <v>0</v>
      </c>
      <c r="L16" s="78" t="n">
        <v>0</v>
      </c>
      <c r="M16" s="78" t="n">
        <v>0</v>
      </c>
      <c r="N16" s="78" t="n">
        <v>0</v>
      </c>
      <c r="O16" s="78" t="n">
        <v>0</v>
      </c>
      <c r="P16" s="80" t="n">
        <v>0</v>
      </c>
      <c r="Q16" s="72" t="n">
        <v>0</v>
      </c>
      <c r="R16" s="72" t="n">
        <v>0</v>
      </c>
      <c r="S16" s="72" t="n">
        <v>0</v>
      </c>
      <c r="T16" s="72" t="n">
        <v>0</v>
      </c>
      <c r="U16" s="72" t="n">
        <v>0</v>
      </c>
      <c r="V16" s="73" t="n">
        <v>1000</v>
      </c>
      <c r="W16" s="72" t="n">
        <v>0</v>
      </c>
      <c r="X16" s="72" t="n">
        <v>0</v>
      </c>
      <c r="Y16" s="72" t="n">
        <v>0</v>
      </c>
      <c r="Z16" s="72" t="n">
        <v>0</v>
      </c>
      <c r="AA16" s="72" t="n">
        <v>0</v>
      </c>
      <c r="AB16" s="72" t="n">
        <v>0</v>
      </c>
      <c r="AC16" s="72" t="n">
        <v>0</v>
      </c>
      <c r="AD16" s="72" t="n">
        <v>0</v>
      </c>
      <c r="AE16" s="74" t="n">
        <v>0</v>
      </c>
      <c r="AF16" s="75" t="n">
        <v>0</v>
      </c>
      <c r="AG16" s="81"/>
      <c r="AH16" s="71"/>
    </row>
    <row r="17" customFormat="false" ht="15" hidden="false" customHeight="true" outlineLevel="0" collapsed="false">
      <c r="A17" s="76" t="n">
        <v>46028</v>
      </c>
      <c r="B17" s="76" t="s">
        <v>59</v>
      </c>
      <c r="C17" s="77" t="s">
        <v>48</v>
      </c>
      <c r="D17" s="78" t="n">
        <v>0</v>
      </c>
      <c r="E17" s="79" t="n">
        <v>0</v>
      </c>
      <c r="F17" s="63" t="n">
        <v>0</v>
      </c>
      <c r="G17" s="78" t="n">
        <v>0</v>
      </c>
      <c r="H17" s="78" t="n">
        <v>0</v>
      </c>
      <c r="I17" s="78" t="n">
        <v>0</v>
      </c>
      <c r="J17" s="78" t="n">
        <v>0</v>
      </c>
      <c r="K17" s="78" t="n">
        <v>0</v>
      </c>
      <c r="L17" s="78" t="n">
        <v>0</v>
      </c>
      <c r="M17" s="78" t="n">
        <v>0</v>
      </c>
      <c r="N17" s="78" t="n">
        <v>0</v>
      </c>
      <c r="O17" s="78" t="n">
        <v>0</v>
      </c>
      <c r="P17" s="80" t="n">
        <v>0</v>
      </c>
      <c r="Q17" s="72" t="n">
        <v>0</v>
      </c>
      <c r="R17" s="72" t="n">
        <v>0</v>
      </c>
      <c r="S17" s="72" t="n">
        <v>0</v>
      </c>
      <c r="T17" s="72" t="n">
        <v>0</v>
      </c>
      <c r="U17" s="72" t="n">
        <v>0</v>
      </c>
      <c r="V17" s="73" t="n">
        <v>120</v>
      </c>
      <c r="W17" s="72" t="n">
        <v>0</v>
      </c>
      <c r="X17" s="72" t="n">
        <v>0</v>
      </c>
      <c r="Y17" s="72" t="n">
        <v>0</v>
      </c>
      <c r="Z17" s="72" t="n">
        <v>0</v>
      </c>
      <c r="AA17" s="72" t="n">
        <v>0</v>
      </c>
      <c r="AB17" s="72" t="n">
        <v>0</v>
      </c>
      <c r="AC17" s="72" t="n">
        <v>0</v>
      </c>
      <c r="AD17" s="72" t="n">
        <v>0</v>
      </c>
      <c r="AE17" s="74" t="n">
        <v>0</v>
      </c>
      <c r="AF17" s="75" t="n">
        <v>0</v>
      </c>
      <c r="AG17" s="81"/>
      <c r="AH17" s="71"/>
    </row>
    <row r="18" customFormat="false" ht="15" hidden="false" customHeight="true" outlineLevel="0" collapsed="false">
      <c r="A18" s="76" t="n">
        <v>46028</v>
      </c>
      <c r="B18" s="76" t="s">
        <v>60</v>
      </c>
      <c r="C18" s="77" t="s">
        <v>53</v>
      </c>
      <c r="D18" s="78" t="n">
        <v>0</v>
      </c>
      <c r="E18" s="79" t="n">
        <v>0</v>
      </c>
      <c r="F18" s="63" t="n">
        <v>0</v>
      </c>
      <c r="G18" s="78" t="n">
        <v>0</v>
      </c>
      <c r="H18" s="78" t="n">
        <v>0</v>
      </c>
      <c r="I18" s="78" t="n">
        <v>0</v>
      </c>
      <c r="J18" s="78" t="n">
        <v>0</v>
      </c>
      <c r="K18" s="78" t="n">
        <v>0</v>
      </c>
      <c r="L18" s="78" t="n">
        <v>0</v>
      </c>
      <c r="M18" s="78" t="n">
        <v>0</v>
      </c>
      <c r="N18" s="78" t="n">
        <v>0</v>
      </c>
      <c r="O18" s="78" t="n">
        <v>0</v>
      </c>
      <c r="P18" s="80" t="n">
        <v>0</v>
      </c>
      <c r="Q18" s="72" t="n">
        <v>0</v>
      </c>
      <c r="R18" s="72" t="n">
        <v>0</v>
      </c>
      <c r="S18" s="72" t="n">
        <v>0</v>
      </c>
      <c r="T18" s="72" t="n">
        <v>0</v>
      </c>
      <c r="U18" s="72" t="n">
        <v>0</v>
      </c>
      <c r="V18" s="72" t="n">
        <v>0</v>
      </c>
      <c r="W18" s="72" t="n">
        <v>0</v>
      </c>
      <c r="X18" s="73" t="n">
        <v>1219.4</v>
      </c>
      <c r="Y18" s="72" t="n">
        <v>0</v>
      </c>
      <c r="Z18" s="72" t="n">
        <v>0</v>
      </c>
      <c r="AA18" s="72" t="n">
        <v>0</v>
      </c>
      <c r="AB18" s="72" t="n">
        <v>0</v>
      </c>
      <c r="AC18" s="72" t="n">
        <v>0</v>
      </c>
      <c r="AD18" s="72" t="n">
        <v>0</v>
      </c>
      <c r="AE18" s="74" t="n">
        <v>0</v>
      </c>
      <c r="AF18" s="75" t="n">
        <v>0</v>
      </c>
      <c r="AG18" s="81"/>
      <c r="AH18" s="71"/>
    </row>
    <row r="19" customFormat="false" ht="15" hidden="false" customHeight="true" outlineLevel="0" collapsed="false">
      <c r="A19" s="76" t="n">
        <v>46028</v>
      </c>
      <c r="B19" s="76" t="s">
        <v>61</v>
      </c>
      <c r="C19" s="77" t="s">
        <v>53</v>
      </c>
      <c r="D19" s="78" t="n">
        <v>0</v>
      </c>
      <c r="E19" s="79" t="n">
        <v>0</v>
      </c>
      <c r="F19" s="63" t="n">
        <v>0</v>
      </c>
      <c r="G19" s="78" t="n">
        <v>0</v>
      </c>
      <c r="H19" s="78" t="n">
        <v>0</v>
      </c>
      <c r="I19" s="78" t="n">
        <v>0</v>
      </c>
      <c r="J19" s="78" t="n">
        <v>0</v>
      </c>
      <c r="K19" s="78" t="n">
        <v>0</v>
      </c>
      <c r="L19" s="78" t="n">
        <v>0</v>
      </c>
      <c r="M19" s="78" t="n">
        <v>0</v>
      </c>
      <c r="N19" s="78" t="n">
        <v>0</v>
      </c>
      <c r="O19" s="78" t="n">
        <v>0</v>
      </c>
      <c r="P19" s="80" t="n">
        <v>0</v>
      </c>
      <c r="Q19" s="72" t="n">
        <v>0</v>
      </c>
      <c r="R19" s="72" t="n">
        <v>0</v>
      </c>
      <c r="S19" s="72" t="n">
        <v>0</v>
      </c>
      <c r="T19" s="72" t="n">
        <v>0</v>
      </c>
      <c r="U19" s="72" t="n">
        <v>0</v>
      </c>
      <c r="V19" s="72" t="n">
        <v>0</v>
      </c>
      <c r="W19" s="72" t="n">
        <v>0</v>
      </c>
      <c r="X19" s="73" t="n">
        <v>1000</v>
      </c>
      <c r="Y19" s="72" t="n">
        <v>0</v>
      </c>
      <c r="Z19" s="72" t="n">
        <v>0</v>
      </c>
      <c r="AA19" s="72" t="n">
        <v>0</v>
      </c>
      <c r="AB19" s="72" t="n">
        <v>0</v>
      </c>
      <c r="AC19" s="72" t="n">
        <v>0</v>
      </c>
      <c r="AD19" s="72" t="n">
        <v>0</v>
      </c>
      <c r="AE19" s="74" t="n">
        <v>0</v>
      </c>
      <c r="AF19" s="75" t="n">
        <v>0</v>
      </c>
      <c r="AG19" s="81"/>
      <c r="AH19" s="71"/>
    </row>
    <row r="20" customFormat="false" ht="15" hidden="false" customHeight="true" outlineLevel="0" collapsed="false">
      <c r="A20" s="76" t="n">
        <v>46028</v>
      </c>
      <c r="B20" s="76" t="s">
        <v>62</v>
      </c>
      <c r="C20" s="77" t="s">
        <v>53</v>
      </c>
      <c r="D20" s="78" t="n">
        <v>0</v>
      </c>
      <c r="E20" s="79" t="n">
        <v>0</v>
      </c>
      <c r="F20" s="63" t="n">
        <v>0</v>
      </c>
      <c r="G20" s="78" t="n">
        <v>0</v>
      </c>
      <c r="H20" s="78" t="n">
        <v>0</v>
      </c>
      <c r="I20" s="78" t="n">
        <v>0</v>
      </c>
      <c r="J20" s="78" t="n">
        <v>0</v>
      </c>
      <c r="K20" s="78" t="n">
        <v>0</v>
      </c>
      <c r="L20" s="78" t="n">
        <v>0</v>
      </c>
      <c r="M20" s="78" t="n">
        <v>0</v>
      </c>
      <c r="N20" s="78" t="n">
        <v>0</v>
      </c>
      <c r="O20" s="78" t="n">
        <v>0</v>
      </c>
      <c r="P20" s="80" t="n">
        <v>0</v>
      </c>
      <c r="Q20" s="72" t="n">
        <v>0</v>
      </c>
      <c r="R20" s="72" t="n">
        <v>0</v>
      </c>
      <c r="S20" s="72" t="n">
        <v>0</v>
      </c>
      <c r="T20" s="72" t="n">
        <v>0</v>
      </c>
      <c r="U20" s="72" t="n">
        <v>0</v>
      </c>
      <c r="V20" s="72" t="n">
        <v>0</v>
      </c>
      <c r="W20" s="72" t="n">
        <v>0</v>
      </c>
      <c r="X20" s="73" t="n">
        <v>160</v>
      </c>
      <c r="Y20" s="72" t="n">
        <v>0</v>
      </c>
      <c r="Z20" s="72" t="n">
        <v>0</v>
      </c>
      <c r="AA20" s="72" t="n">
        <v>0</v>
      </c>
      <c r="AB20" s="72" t="n">
        <v>0</v>
      </c>
      <c r="AC20" s="72" t="n">
        <v>0</v>
      </c>
      <c r="AD20" s="72" t="n">
        <v>0</v>
      </c>
      <c r="AE20" s="74" t="n">
        <v>0</v>
      </c>
      <c r="AF20" s="75" t="n">
        <v>0</v>
      </c>
      <c r="AG20" s="81" t="s">
        <v>63</v>
      </c>
      <c r="AH20" s="71"/>
    </row>
    <row r="21" customFormat="false" ht="15" hidden="false" customHeight="true" outlineLevel="0" collapsed="false">
      <c r="A21" s="76" t="n">
        <v>46028</v>
      </c>
      <c r="B21" s="76" t="s">
        <v>64</v>
      </c>
      <c r="C21" s="77" t="s">
        <v>48</v>
      </c>
      <c r="D21" s="78" t="n">
        <v>0</v>
      </c>
      <c r="E21" s="79" t="n">
        <v>0</v>
      </c>
      <c r="F21" s="63" t="n">
        <v>0</v>
      </c>
      <c r="G21" s="78" t="n">
        <v>0</v>
      </c>
      <c r="H21" s="78" t="n">
        <v>0</v>
      </c>
      <c r="I21" s="78" t="n">
        <v>0</v>
      </c>
      <c r="J21" s="78" t="n">
        <v>0</v>
      </c>
      <c r="K21" s="78" t="n">
        <v>0</v>
      </c>
      <c r="L21" s="78" t="n">
        <v>0</v>
      </c>
      <c r="M21" s="78" t="n">
        <v>0</v>
      </c>
      <c r="N21" s="78" t="n">
        <v>0</v>
      </c>
      <c r="O21" s="78" t="n">
        <v>0</v>
      </c>
      <c r="P21" s="80" t="n">
        <v>0</v>
      </c>
      <c r="Q21" s="72" t="n">
        <v>0</v>
      </c>
      <c r="R21" s="72" t="n">
        <v>0</v>
      </c>
      <c r="S21" s="72" t="n">
        <v>0</v>
      </c>
      <c r="T21" s="72" t="n">
        <v>0</v>
      </c>
      <c r="U21" s="72" t="n">
        <v>0</v>
      </c>
      <c r="V21" s="73" t="n">
        <v>120</v>
      </c>
      <c r="W21" s="72" t="n">
        <v>0</v>
      </c>
      <c r="X21" s="72" t="n">
        <v>0</v>
      </c>
      <c r="Y21" s="72" t="n">
        <v>0</v>
      </c>
      <c r="Z21" s="72" t="n">
        <v>0</v>
      </c>
      <c r="AA21" s="72" t="n">
        <v>0</v>
      </c>
      <c r="AB21" s="72" t="n">
        <v>0</v>
      </c>
      <c r="AC21" s="72" t="n">
        <v>0</v>
      </c>
      <c r="AD21" s="72" t="n">
        <v>0</v>
      </c>
      <c r="AE21" s="74" t="n">
        <v>0</v>
      </c>
      <c r="AF21" s="75" t="n">
        <v>0</v>
      </c>
      <c r="AG21" s="81"/>
      <c r="AH21" s="71"/>
    </row>
    <row r="22" customFormat="false" ht="15" hidden="false" customHeight="true" outlineLevel="0" collapsed="false">
      <c r="A22" s="76" t="n">
        <v>46028</v>
      </c>
      <c r="B22" s="76" t="s">
        <v>65</v>
      </c>
      <c r="C22" s="77" t="s">
        <v>48</v>
      </c>
      <c r="D22" s="78" t="n">
        <v>0</v>
      </c>
      <c r="E22" s="79" t="n">
        <v>0</v>
      </c>
      <c r="F22" s="63" t="n">
        <v>0</v>
      </c>
      <c r="G22" s="78" t="n">
        <v>0</v>
      </c>
      <c r="H22" s="78" t="n">
        <v>0</v>
      </c>
      <c r="I22" s="78" t="n">
        <v>0</v>
      </c>
      <c r="J22" s="78" t="n">
        <v>0</v>
      </c>
      <c r="K22" s="78" t="n">
        <v>0</v>
      </c>
      <c r="L22" s="78" t="n">
        <v>0</v>
      </c>
      <c r="M22" s="78" t="n">
        <v>0</v>
      </c>
      <c r="N22" s="78" t="n">
        <v>0</v>
      </c>
      <c r="O22" s="78" t="n">
        <v>0</v>
      </c>
      <c r="P22" s="80" t="n">
        <v>0</v>
      </c>
      <c r="Q22" s="72" t="n">
        <v>0</v>
      </c>
      <c r="R22" s="72" t="n">
        <v>0</v>
      </c>
      <c r="S22" s="73" t="n">
        <v>120</v>
      </c>
      <c r="T22" s="72" t="n">
        <v>0</v>
      </c>
      <c r="U22" s="72" t="n">
        <v>0</v>
      </c>
      <c r="V22" s="72" t="n">
        <v>0</v>
      </c>
      <c r="W22" s="72" t="n">
        <v>0</v>
      </c>
      <c r="X22" s="72" t="n">
        <v>0</v>
      </c>
      <c r="Y22" s="72" t="n">
        <v>0</v>
      </c>
      <c r="Z22" s="72" t="n">
        <v>0</v>
      </c>
      <c r="AA22" s="72" t="n">
        <v>0</v>
      </c>
      <c r="AB22" s="72" t="n">
        <v>0</v>
      </c>
      <c r="AC22" s="72" t="n">
        <v>0</v>
      </c>
      <c r="AD22" s="72" t="n">
        <v>0</v>
      </c>
      <c r="AE22" s="74" t="n">
        <v>0</v>
      </c>
      <c r="AF22" s="75" t="n">
        <v>0</v>
      </c>
      <c r="AG22" s="81"/>
      <c r="AH22" s="71" t="s">
        <v>66</v>
      </c>
    </row>
    <row r="23" customFormat="false" ht="15" hidden="false" customHeight="true" outlineLevel="0" collapsed="false">
      <c r="A23" s="76" t="n">
        <v>46028</v>
      </c>
      <c r="B23" s="76" t="s">
        <v>67</v>
      </c>
      <c r="C23" s="77"/>
      <c r="D23" s="78" t="n">
        <v>0</v>
      </c>
      <c r="E23" s="79" t="n">
        <v>6000</v>
      </c>
      <c r="F23" s="63" t="n">
        <v>0</v>
      </c>
      <c r="G23" s="78" t="n">
        <v>0</v>
      </c>
      <c r="H23" s="78" t="n">
        <v>0</v>
      </c>
      <c r="I23" s="78" t="n">
        <v>0</v>
      </c>
      <c r="J23" s="78" t="n">
        <v>6000</v>
      </c>
      <c r="K23" s="78" t="n">
        <v>0</v>
      </c>
      <c r="L23" s="78" t="n">
        <v>0</v>
      </c>
      <c r="M23" s="78" t="n">
        <v>0</v>
      </c>
      <c r="N23" s="78" t="n">
        <v>0</v>
      </c>
      <c r="O23" s="78" t="n">
        <v>0</v>
      </c>
      <c r="P23" s="80" t="n">
        <v>0</v>
      </c>
      <c r="Q23" s="72" t="n">
        <v>0</v>
      </c>
      <c r="R23" s="72" t="n">
        <v>0</v>
      </c>
      <c r="S23" s="72" t="n">
        <v>0</v>
      </c>
      <c r="T23" s="72" t="n">
        <v>0</v>
      </c>
      <c r="U23" s="72" t="n">
        <v>0</v>
      </c>
      <c r="V23" s="73" t="n">
        <v>6000</v>
      </c>
      <c r="W23" s="72" t="n">
        <v>0</v>
      </c>
      <c r="X23" s="72" t="n">
        <v>0</v>
      </c>
      <c r="Y23" s="72" t="n">
        <v>0</v>
      </c>
      <c r="Z23" s="72" t="n">
        <v>0</v>
      </c>
      <c r="AA23" s="72" t="n">
        <v>0</v>
      </c>
      <c r="AB23" s="72" t="n">
        <v>0</v>
      </c>
      <c r="AC23" s="72" t="n">
        <v>0</v>
      </c>
      <c r="AD23" s="72" t="n">
        <v>0</v>
      </c>
      <c r="AE23" s="74" t="n">
        <v>0</v>
      </c>
      <c r="AF23" s="75" t="n">
        <v>0</v>
      </c>
      <c r="AG23" s="81"/>
      <c r="AH23" s="71"/>
    </row>
    <row r="24" customFormat="false" ht="15" hidden="false" customHeight="true" outlineLevel="0" collapsed="false">
      <c r="A24" s="76" t="n">
        <v>46028</v>
      </c>
      <c r="B24" s="76" t="s">
        <v>68</v>
      </c>
      <c r="C24" s="77" t="s">
        <v>48</v>
      </c>
      <c r="D24" s="78" t="n">
        <v>0</v>
      </c>
      <c r="E24" s="79" t="n">
        <v>0</v>
      </c>
      <c r="F24" s="63" t="n">
        <v>0</v>
      </c>
      <c r="G24" s="78" t="n">
        <v>0</v>
      </c>
      <c r="H24" s="78" t="n">
        <v>0</v>
      </c>
      <c r="I24" s="78" t="n">
        <v>0</v>
      </c>
      <c r="J24" s="78" t="n">
        <v>0</v>
      </c>
      <c r="K24" s="78" t="n">
        <v>0</v>
      </c>
      <c r="L24" s="78" t="n">
        <v>0</v>
      </c>
      <c r="M24" s="78" t="n">
        <v>0</v>
      </c>
      <c r="N24" s="78" t="n">
        <v>0</v>
      </c>
      <c r="O24" s="78" t="n">
        <v>0</v>
      </c>
      <c r="P24" s="80" t="n">
        <v>0</v>
      </c>
      <c r="Q24" s="72" t="n">
        <v>0</v>
      </c>
      <c r="R24" s="72" t="n">
        <v>0</v>
      </c>
      <c r="S24" s="72" t="n">
        <v>0</v>
      </c>
      <c r="T24" s="72" t="n">
        <v>0</v>
      </c>
      <c r="U24" s="72" t="n">
        <v>0</v>
      </c>
      <c r="V24" s="73" t="n">
        <v>120</v>
      </c>
      <c r="W24" s="72" t="n">
        <v>0</v>
      </c>
      <c r="X24" s="72" t="n">
        <v>0</v>
      </c>
      <c r="Y24" s="72" t="n">
        <v>0</v>
      </c>
      <c r="Z24" s="72" t="n">
        <v>0</v>
      </c>
      <c r="AA24" s="72" t="n">
        <v>0</v>
      </c>
      <c r="AB24" s="72" t="n">
        <v>0</v>
      </c>
      <c r="AC24" s="72" t="n">
        <v>0</v>
      </c>
      <c r="AD24" s="72" t="n">
        <v>0</v>
      </c>
      <c r="AE24" s="74" t="n">
        <v>0</v>
      </c>
      <c r="AF24" s="75" t="n">
        <v>0</v>
      </c>
      <c r="AG24" s="81"/>
      <c r="AH24" s="71"/>
    </row>
    <row r="25" customFormat="false" ht="15" hidden="false" customHeight="true" outlineLevel="0" collapsed="false">
      <c r="A25" s="76" t="n">
        <v>46029</v>
      </c>
      <c r="B25" s="76" t="s">
        <v>69</v>
      </c>
      <c r="C25" s="77" t="s">
        <v>46</v>
      </c>
      <c r="D25" s="78" t="n">
        <v>0</v>
      </c>
      <c r="E25" s="79" t="n">
        <v>11060</v>
      </c>
      <c r="F25" s="63" t="n">
        <v>0</v>
      </c>
      <c r="G25" s="78" t="n">
        <v>500</v>
      </c>
      <c r="H25" s="78" t="n">
        <v>0</v>
      </c>
      <c r="I25" s="78" t="n">
        <v>0</v>
      </c>
      <c r="J25" s="78" t="n">
        <v>6000</v>
      </c>
      <c r="K25" s="78" t="n">
        <v>4560</v>
      </c>
      <c r="L25" s="78" t="n">
        <v>0</v>
      </c>
      <c r="M25" s="78" t="n">
        <v>0</v>
      </c>
      <c r="N25" s="78" t="n">
        <v>0</v>
      </c>
      <c r="O25" s="78" t="n">
        <v>0</v>
      </c>
      <c r="P25" s="80" t="n">
        <v>0</v>
      </c>
      <c r="Q25" s="72" t="n">
        <v>0</v>
      </c>
      <c r="R25" s="72" t="n">
        <v>0</v>
      </c>
      <c r="S25" s="72" t="n">
        <v>0</v>
      </c>
      <c r="T25" s="72" t="n">
        <v>0</v>
      </c>
      <c r="U25" s="73" t="n">
        <v>11060</v>
      </c>
      <c r="V25" s="72" t="n">
        <v>0</v>
      </c>
      <c r="W25" s="72" t="n">
        <v>0</v>
      </c>
      <c r="X25" s="72" t="n">
        <v>0</v>
      </c>
      <c r="Y25" s="72" t="n">
        <v>0</v>
      </c>
      <c r="Z25" s="72" t="n">
        <v>0</v>
      </c>
      <c r="AA25" s="72" t="n">
        <v>0</v>
      </c>
      <c r="AB25" s="72" t="n">
        <v>0</v>
      </c>
      <c r="AC25" s="72" t="n">
        <v>0</v>
      </c>
      <c r="AD25" s="72" t="n">
        <v>0</v>
      </c>
      <c r="AE25" s="74" t="n">
        <v>0</v>
      </c>
      <c r="AF25" s="75" t="n">
        <v>0</v>
      </c>
      <c r="AG25" s="81"/>
      <c r="AH25" s="71" t="s">
        <v>70</v>
      </c>
    </row>
    <row r="26" customFormat="false" ht="15" hidden="false" customHeight="true" outlineLevel="0" collapsed="false">
      <c r="A26" s="76" t="n">
        <v>46029</v>
      </c>
      <c r="B26" s="76" t="s">
        <v>71</v>
      </c>
      <c r="C26" s="77" t="s">
        <v>48</v>
      </c>
      <c r="D26" s="78" t="n">
        <v>0</v>
      </c>
      <c r="E26" s="79" t="n">
        <v>0</v>
      </c>
      <c r="F26" s="63" t="n">
        <v>0</v>
      </c>
      <c r="G26" s="78" t="n">
        <v>0</v>
      </c>
      <c r="H26" s="78" t="n">
        <v>0</v>
      </c>
      <c r="I26" s="78" t="n">
        <v>0</v>
      </c>
      <c r="J26" s="78" t="n">
        <v>0</v>
      </c>
      <c r="K26" s="78" t="n">
        <v>0</v>
      </c>
      <c r="L26" s="78" t="n">
        <v>0</v>
      </c>
      <c r="M26" s="78" t="n">
        <v>0</v>
      </c>
      <c r="N26" s="78" t="n">
        <v>0</v>
      </c>
      <c r="O26" s="78" t="n">
        <v>0</v>
      </c>
      <c r="P26" s="80" t="n">
        <v>0</v>
      </c>
      <c r="Q26" s="72" t="n">
        <v>0</v>
      </c>
      <c r="R26" s="72" t="n">
        <v>0</v>
      </c>
      <c r="S26" s="72" t="n">
        <v>0</v>
      </c>
      <c r="T26" s="72" t="n">
        <v>0</v>
      </c>
      <c r="U26" s="72" t="n">
        <v>0</v>
      </c>
      <c r="V26" s="73" t="n">
        <v>120</v>
      </c>
      <c r="W26" s="72" t="n">
        <v>0</v>
      </c>
      <c r="X26" s="72" t="n">
        <v>0</v>
      </c>
      <c r="Y26" s="72" t="n">
        <v>0</v>
      </c>
      <c r="Z26" s="72" t="n">
        <v>0</v>
      </c>
      <c r="AA26" s="72" t="n">
        <v>0</v>
      </c>
      <c r="AB26" s="72" t="n">
        <v>0</v>
      </c>
      <c r="AC26" s="72" t="n">
        <v>0</v>
      </c>
      <c r="AD26" s="72" t="n">
        <v>0</v>
      </c>
      <c r="AE26" s="74" t="n">
        <v>0</v>
      </c>
      <c r="AF26" s="75" t="n">
        <v>0</v>
      </c>
      <c r="AG26" s="81"/>
      <c r="AH26" s="71"/>
    </row>
    <row r="27" customFormat="false" ht="15" hidden="false" customHeight="true" outlineLevel="0" collapsed="false">
      <c r="A27" s="76" t="n">
        <v>46029</v>
      </c>
      <c r="B27" s="76" t="s">
        <v>72</v>
      </c>
      <c r="C27" s="77" t="s">
        <v>48</v>
      </c>
      <c r="D27" s="78" t="n">
        <v>0</v>
      </c>
      <c r="E27" s="79" t="n">
        <v>0</v>
      </c>
      <c r="F27" s="63" t="n">
        <v>0</v>
      </c>
      <c r="G27" s="78" t="n">
        <v>0</v>
      </c>
      <c r="H27" s="78" t="n">
        <v>0</v>
      </c>
      <c r="I27" s="78" t="n">
        <v>0</v>
      </c>
      <c r="J27" s="78" t="n">
        <v>0</v>
      </c>
      <c r="K27" s="78" t="n">
        <v>0</v>
      </c>
      <c r="L27" s="78" t="n">
        <v>0</v>
      </c>
      <c r="M27" s="78" t="n">
        <v>0</v>
      </c>
      <c r="N27" s="78" t="n">
        <v>0</v>
      </c>
      <c r="O27" s="78" t="n">
        <v>0</v>
      </c>
      <c r="P27" s="80" t="n">
        <v>0</v>
      </c>
      <c r="Q27" s="72" t="n">
        <v>0</v>
      </c>
      <c r="R27" s="72" t="n">
        <v>0</v>
      </c>
      <c r="S27" s="72" t="n">
        <v>0</v>
      </c>
      <c r="T27" s="72" t="n">
        <v>0</v>
      </c>
      <c r="U27" s="72" t="n">
        <v>0</v>
      </c>
      <c r="V27" s="73" t="n">
        <v>120</v>
      </c>
      <c r="W27" s="72" t="n">
        <v>0</v>
      </c>
      <c r="X27" s="72" t="n">
        <v>0</v>
      </c>
      <c r="Y27" s="72" t="n">
        <v>0</v>
      </c>
      <c r="Z27" s="72" t="n">
        <v>0</v>
      </c>
      <c r="AA27" s="72" t="n">
        <v>0</v>
      </c>
      <c r="AB27" s="72" t="n">
        <v>0</v>
      </c>
      <c r="AC27" s="72" t="n">
        <v>0</v>
      </c>
      <c r="AD27" s="72" t="n">
        <v>0</v>
      </c>
      <c r="AE27" s="74" t="n">
        <v>0</v>
      </c>
      <c r="AF27" s="75" t="n">
        <v>0</v>
      </c>
      <c r="AG27" s="81"/>
      <c r="AH27" s="71"/>
    </row>
    <row r="28" customFormat="false" ht="15" hidden="false" customHeight="true" outlineLevel="0" collapsed="false">
      <c r="A28" s="76" t="n">
        <v>46029</v>
      </c>
      <c r="B28" s="76" t="s">
        <v>73</v>
      </c>
      <c r="C28" s="77" t="s">
        <v>48</v>
      </c>
      <c r="D28" s="78" t="n">
        <v>0</v>
      </c>
      <c r="E28" s="79" t="n">
        <v>0</v>
      </c>
      <c r="F28" s="63" t="n">
        <v>0</v>
      </c>
      <c r="G28" s="78" t="n">
        <v>0</v>
      </c>
      <c r="H28" s="78" t="n">
        <v>0</v>
      </c>
      <c r="I28" s="78" t="n">
        <v>0</v>
      </c>
      <c r="J28" s="78" t="n">
        <v>0</v>
      </c>
      <c r="K28" s="78" t="n">
        <v>0</v>
      </c>
      <c r="L28" s="78" t="n">
        <v>0</v>
      </c>
      <c r="M28" s="78" t="n">
        <v>0</v>
      </c>
      <c r="N28" s="78" t="n">
        <v>0</v>
      </c>
      <c r="O28" s="78" t="n">
        <v>0</v>
      </c>
      <c r="P28" s="80" t="n">
        <v>0</v>
      </c>
      <c r="Q28" s="72" t="n">
        <v>0</v>
      </c>
      <c r="R28" s="72" t="n">
        <v>0</v>
      </c>
      <c r="S28" s="72" t="n">
        <v>0</v>
      </c>
      <c r="T28" s="72" t="n">
        <v>0</v>
      </c>
      <c r="U28" s="72" t="n">
        <v>0</v>
      </c>
      <c r="V28" s="73" t="n">
        <v>120</v>
      </c>
      <c r="W28" s="72" t="n">
        <v>0</v>
      </c>
      <c r="X28" s="72" t="n">
        <v>0</v>
      </c>
      <c r="Y28" s="72" t="n">
        <v>0</v>
      </c>
      <c r="Z28" s="72" t="n">
        <v>0</v>
      </c>
      <c r="AA28" s="72" t="n">
        <v>0</v>
      </c>
      <c r="AB28" s="72" t="n">
        <v>0</v>
      </c>
      <c r="AC28" s="72" t="n">
        <v>0</v>
      </c>
      <c r="AD28" s="72" t="n">
        <v>0</v>
      </c>
      <c r="AE28" s="74" t="n">
        <v>0</v>
      </c>
      <c r="AF28" s="75" t="n">
        <v>0</v>
      </c>
      <c r="AG28" s="81"/>
      <c r="AH28" s="71"/>
    </row>
    <row r="29" customFormat="false" ht="15" hidden="false" customHeight="true" outlineLevel="0" collapsed="false">
      <c r="A29" s="76" t="n">
        <v>46029</v>
      </c>
      <c r="B29" s="76" t="s">
        <v>74</v>
      </c>
      <c r="C29" s="77" t="s">
        <v>48</v>
      </c>
      <c r="D29" s="78" t="n">
        <v>0</v>
      </c>
      <c r="E29" s="79" t="n">
        <v>0</v>
      </c>
      <c r="F29" s="63" t="n">
        <v>0</v>
      </c>
      <c r="G29" s="78" t="n">
        <v>0</v>
      </c>
      <c r="H29" s="78" t="n">
        <v>0</v>
      </c>
      <c r="I29" s="78" t="n">
        <v>0</v>
      </c>
      <c r="J29" s="78" t="n">
        <v>0</v>
      </c>
      <c r="K29" s="78" t="n">
        <v>0</v>
      </c>
      <c r="L29" s="78" t="n">
        <v>0</v>
      </c>
      <c r="M29" s="78" t="n">
        <v>0</v>
      </c>
      <c r="N29" s="78" t="n">
        <v>0</v>
      </c>
      <c r="O29" s="78" t="n">
        <v>0</v>
      </c>
      <c r="P29" s="80" t="n">
        <v>0</v>
      </c>
      <c r="Q29" s="72" t="n">
        <v>0</v>
      </c>
      <c r="R29" s="72" t="n">
        <v>0</v>
      </c>
      <c r="S29" s="72" t="n">
        <v>0</v>
      </c>
      <c r="T29" s="72" t="n">
        <v>0</v>
      </c>
      <c r="U29" s="72" t="n">
        <v>0</v>
      </c>
      <c r="V29" s="73" t="n">
        <v>120</v>
      </c>
      <c r="W29" s="72" t="n">
        <v>0</v>
      </c>
      <c r="X29" s="72" t="n">
        <v>0</v>
      </c>
      <c r="Y29" s="72" t="n">
        <v>0</v>
      </c>
      <c r="Z29" s="72" t="n">
        <v>0</v>
      </c>
      <c r="AA29" s="72" t="n">
        <v>0</v>
      </c>
      <c r="AB29" s="72" t="n">
        <v>0</v>
      </c>
      <c r="AC29" s="72" t="n">
        <v>0</v>
      </c>
      <c r="AD29" s="72" t="n">
        <v>0</v>
      </c>
      <c r="AE29" s="74" t="n">
        <v>0</v>
      </c>
      <c r="AF29" s="75" t="n">
        <v>0</v>
      </c>
      <c r="AG29" s="81"/>
      <c r="AH29" s="71"/>
    </row>
    <row r="30" customFormat="false" ht="15" hidden="false" customHeight="true" outlineLevel="0" collapsed="false">
      <c r="A30" s="76" t="n">
        <v>46030</v>
      </c>
      <c r="B30" s="76" t="s">
        <v>75</v>
      </c>
      <c r="C30" s="77" t="s">
        <v>48</v>
      </c>
      <c r="D30" s="78" t="n">
        <v>0</v>
      </c>
      <c r="E30" s="79" t="n">
        <v>0</v>
      </c>
      <c r="F30" s="63" t="n">
        <v>0</v>
      </c>
      <c r="G30" s="78" t="n">
        <v>0</v>
      </c>
      <c r="H30" s="78" t="n">
        <v>0</v>
      </c>
      <c r="I30" s="78" t="n">
        <v>0</v>
      </c>
      <c r="J30" s="78" t="n">
        <v>0</v>
      </c>
      <c r="K30" s="78" t="n">
        <v>0</v>
      </c>
      <c r="L30" s="78" t="n">
        <v>0</v>
      </c>
      <c r="M30" s="78" t="n">
        <v>0</v>
      </c>
      <c r="N30" s="78" t="n">
        <v>0</v>
      </c>
      <c r="O30" s="78" t="n">
        <v>0</v>
      </c>
      <c r="P30" s="80" t="n">
        <v>0</v>
      </c>
      <c r="Q30" s="72" t="n">
        <v>0</v>
      </c>
      <c r="R30" s="72" t="n">
        <v>0</v>
      </c>
      <c r="S30" s="72" t="n">
        <v>0</v>
      </c>
      <c r="T30" s="72" t="n">
        <v>0</v>
      </c>
      <c r="U30" s="72" t="n">
        <v>0</v>
      </c>
      <c r="V30" s="73" t="n">
        <v>120</v>
      </c>
      <c r="W30" s="72" t="n">
        <v>0</v>
      </c>
      <c r="X30" s="72" t="n">
        <v>0</v>
      </c>
      <c r="Y30" s="72" t="n">
        <v>0</v>
      </c>
      <c r="Z30" s="72" t="n">
        <v>0</v>
      </c>
      <c r="AA30" s="72" t="n">
        <v>0</v>
      </c>
      <c r="AB30" s="72" t="n">
        <v>0</v>
      </c>
      <c r="AC30" s="72" t="n">
        <v>0</v>
      </c>
      <c r="AD30" s="72" t="n">
        <v>0</v>
      </c>
      <c r="AE30" s="74" t="n">
        <v>0</v>
      </c>
      <c r="AF30" s="75" t="n">
        <v>0</v>
      </c>
      <c r="AG30" s="81"/>
      <c r="AH30" s="71"/>
    </row>
    <row r="31" customFormat="false" ht="15" hidden="false" customHeight="true" outlineLevel="0" collapsed="false">
      <c r="A31" s="76" t="n">
        <v>46030</v>
      </c>
      <c r="B31" s="76" t="s">
        <v>76</v>
      </c>
      <c r="C31" s="77" t="s">
        <v>48</v>
      </c>
      <c r="D31" s="78" t="n">
        <v>0</v>
      </c>
      <c r="E31" s="79" t="n">
        <v>0</v>
      </c>
      <c r="F31" s="63" t="n">
        <v>0</v>
      </c>
      <c r="G31" s="78" t="n">
        <v>0</v>
      </c>
      <c r="H31" s="78" t="n">
        <v>0</v>
      </c>
      <c r="I31" s="78" t="n">
        <v>0</v>
      </c>
      <c r="J31" s="78" t="n">
        <v>0</v>
      </c>
      <c r="K31" s="78" t="n">
        <v>0</v>
      </c>
      <c r="L31" s="78" t="n">
        <v>0</v>
      </c>
      <c r="M31" s="78" t="n">
        <v>0</v>
      </c>
      <c r="N31" s="78" t="n">
        <v>0</v>
      </c>
      <c r="O31" s="78" t="n">
        <v>0</v>
      </c>
      <c r="P31" s="80" t="n">
        <v>0</v>
      </c>
      <c r="Q31" s="72" t="n">
        <v>0</v>
      </c>
      <c r="R31" s="72" t="n">
        <v>0</v>
      </c>
      <c r="S31" s="72" t="n">
        <v>0</v>
      </c>
      <c r="T31" s="72" t="n">
        <v>0</v>
      </c>
      <c r="U31" s="72" t="n">
        <v>0</v>
      </c>
      <c r="V31" s="73" t="n">
        <v>120</v>
      </c>
      <c r="W31" s="72" t="n">
        <v>0</v>
      </c>
      <c r="X31" s="72" t="n">
        <v>0</v>
      </c>
      <c r="Y31" s="72" t="n">
        <v>0</v>
      </c>
      <c r="Z31" s="72" t="n">
        <v>0</v>
      </c>
      <c r="AA31" s="72" t="n">
        <v>0</v>
      </c>
      <c r="AB31" s="72" t="n">
        <v>0</v>
      </c>
      <c r="AC31" s="72" t="n">
        <v>0</v>
      </c>
      <c r="AD31" s="72" t="n">
        <v>0</v>
      </c>
      <c r="AE31" s="74" t="n">
        <v>0</v>
      </c>
      <c r="AF31" s="75" t="n">
        <v>0</v>
      </c>
      <c r="AG31" s="81"/>
      <c r="AH31" s="71"/>
    </row>
    <row r="32" customFormat="false" ht="15.75" hidden="false" customHeight="true" outlineLevel="0" collapsed="false">
      <c r="A32" s="76" t="n">
        <v>46030</v>
      </c>
      <c r="B32" s="76" t="s">
        <v>77</v>
      </c>
      <c r="C32" s="77" t="s">
        <v>48</v>
      </c>
      <c r="D32" s="78" t="n">
        <v>0</v>
      </c>
      <c r="E32" s="79" t="n">
        <v>0</v>
      </c>
      <c r="F32" s="63" t="n">
        <v>0</v>
      </c>
      <c r="G32" s="78" t="n">
        <v>0</v>
      </c>
      <c r="H32" s="78" t="n">
        <v>0</v>
      </c>
      <c r="I32" s="78" t="n">
        <v>0</v>
      </c>
      <c r="J32" s="78" t="n">
        <v>0</v>
      </c>
      <c r="K32" s="78" t="n">
        <v>0</v>
      </c>
      <c r="L32" s="78" t="n">
        <v>0</v>
      </c>
      <c r="M32" s="78" t="n">
        <v>0</v>
      </c>
      <c r="N32" s="78" t="n">
        <v>0</v>
      </c>
      <c r="O32" s="78" t="n">
        <v>0</v>
      </c>
      <c r="P32" s="80" t="n">
        <v>0</v>
      </c>
      <c r="Q32" s="72" t="n">
        <v>0</v>
      </c>
      <c r="R32" s="72" t="n">
        <v>0</v>
      </c>
      <c r="S32" s="72" t="n">
        <v>0</v>
      </c>
      <c r="T32" s="72" t="n">
        <v>0</v>
      </c>
      <c r="U32" s="72" t="n">
        <v>0</v>
      </c>
      <c r="V32" s="73" t="n">
        <v>102</v>
      </c>
      <c r="W32" s="72" t="n">
        <v>0</v>
      </c>
      <c r="X32" s="72" t="n">
        <v>0</v>
      </c>
      <c r="Y32" s="72" t="n">
        <v>0</v>
      </c>
      <c r="Z32" s="72" t="n">
        <v>0</v>
      </c>
      <c r="AA32" s="72" t="n">
        <v>0</v>
      </c>
      <c r="AB32" s="72" t="n">
        <v>0</v>
      </c>
      <c r="AC32" s="72" t="n">
        <v>0</v>
      </c>
      <c r="AD32" s="72" t="n">
        <v>0</v>
      </c>
      <c r="AE32" s="74" t="n">
        <v>0</v>
      </c>
      <c r="AF32" s="75" t="n">
        <v>0</v>
      </c>
      <c r="AG32" s="81"/>
      <c r="AH32" s="71"/>
    </row>
    <row r="33" customFormat="false" ht="15.75" hidden="false" customHeight="true" outlineLevel="0" collapsed="false">
      <c r="A33" s="76" t="n">
        <v>46030</v>
      </c>
      <c r="B33" s="76" t="s">
        <v>78</v>
      </c>
      <c r="C33" s="77" t="s">
        <v>48</v>
      </c>
      <c r="D33" s="78" t="n">
        <v>0</v>
      </c>
      <c r="E33" s="79" t="n">
        <v>0</v>
      </c>
      <c r="F33" s="63" t="n">
        <v>0</v>
      </c>
      <c r="G33" s="78" t="n">
        <v>0</v>
      </c>
      <c r="H33" s="78" t="n">
        <v>0</v>
      </c>
      <c r="I33" s="78" t="n">
        <v>0</v>
      </c>
      <c r="J33" s="78" t="n">
        <v>0</v>
      </c>
      <c r="K33" s="78" t="n">
        <v>0</v>
      </c>
      <c r="L33" s="78" t="n">
        <v>0</v>
      </c>
      <c r="M33" s="78" t="n">
        <v>0</v>
      </c>
      <c r="N33" s="78" t="n">
        <v>0</v>
      </c>
      <c r="O33" s="78" t="n">
        <v>0</v>
      </c>
      <c r="P33" s="80" t="n">
        <v>0</v>
      </c>
      <c r="Q33" s="72" t="n">
        <v>0</v>
      </c>
      <c r="R33" s="72" t="n">
        <v>0</v>
      </c>
      <c r="S33" s="72" t="n">
        <v>0</v>
      </c>
      <c r="T33" s="72" t="n">
        <v>0</v>
      </c>
      <c r="U33" s="72" t="n">
        <v>0</v>
      </c>
      <c r="V33" s="73" t="n">
        <v>120</v>
      </c>
      <c r="W33" s="72" t="n">
        <v>0</v>
      </c>
      <c r="X33" s="72" t="n">
        <v>0</v>
      </c>
      <c r="Y33" s="72" t="n">
        <v>0</v>
      </c>
      <c r="Z33" s="72" t="n">
        <v>0</v>
      </c>
      <c r="AA33" s="72" t="n">
        <v>0</v>
      </c>
      <c r="AB33" s="72" t="n">
        <v>0</v>
      </c>
      <c r="AC33" s="72" t="n">
        <v>0</v>
      </c>
      <c r="AD33" s="72" t="n">
        <v>0</v>
      </c>
      <c r="AE33" s="74" t="n">
        <v>0</v>
      </c>
      <c r="AF33" s="75" t="n">
        <v>0</v>
      </c>
      <c r="AG33" s="81"/>
      <c r="AH33" s="71"/>
    </row>
    <row r="34" customFormat="false" ht="15.75" hidden="false" customHeight="true" outlineLevel="0" collapsed="false">
      <c r="A34" s="76" t="n">
        <v>46030</v>
      </c>
      <c r="B34" s="76" t="s">
        <v>79</v>
      </c>
      <c r="C34" s="77" t="s">
        <v>48</v>
      </c>
      <c r="D34" s="78" t="n">
        <v>0</v>
      </c>
      <c r="E34" s="79" t="n">
        <v>0</v>
      </c>
      <c r="F34" s="63" t="n">
        <v>0</v>
      </c>
      <c r="G34" s="78" t="n">
        <v>0</v>
      </c>
      <c r="H34" s="78" t="n">
        <v>0</v>
      </c>
      <c r="I34" s="78" t="n">
        <v>0</v>
      </c>
      <c r="J34" s="78" t="n">
        <v>0</v>
      </c>
      <c r="K34" s="78" t="n">
        <v>0</v>
      </c>
      <c r="L34" s="78" t="n">
        <v>0</v>
      </c>
      <c r="M34" s="78" t="n">
        <v>0</v>
      </c>
      <c r="N34" s="78" t="n">
        <v>0</v>
      </c>
      <c r="O34" s="78" t="n">
        <v>0</v>
      </c>
      <c r="P34" s="80" t="n">
        <v>0</v>
      </c>
      <c r="Q34" s="72" t="n">
        <v>0</v>
      </c>
      <c r="R34" s="72" t="n">
        <v>0</v>
      </c>
      <c r="S34" s="72" t="n">
        <v>0</v>
      </c>
      <c r="T34" s="72" t="n">
        <v>0</v>
      </c>
      <c r="U34" s="72" t="n">
        <v>0</v>
      </c>
      <c r="V34" s="73" t="n">
        <v>120</v>
      </c>
      <c r="W34" s="72" t="n">
        <v>0</v>
      </c>
      <c r="X34" s="72" t="n">
        <v>0</v>
      </c>
      <c r="Y34" s="72" t="n">
        <v>0</v>
      </c>
      <c r="Z34" s="72" t="n">
        <v>0</v>
      </c>
      <c r="AA34" s="72" t="n">
        <v>0</v>
      </c>
      <c r="AB34" s="72" t="n">
        <v>0</v>
      </c>
      <c r="AC34" s="72" t="n">
        <v>0</v>
      </c>
      <c r="AD34" s="72" t="n">
        <v>0</v>
      </c>
      <c r="AE34" s="74" t="n">
        <v>0</v>
      </c>
      <c r="AF34" s="75" t="n">
        <v>0</v>
      </c>
      <c r="AG34" s="81"/>
      <c r="AH34" s="71"/>
    </row>
    <row r="35" customFormat="false" ht="15.75" hidden="false" customHeight="true" outlineLevel="0" collapsed="false">
      <c r="A35" s="76" t="n">
        <v>46030</v>
      </c>
      <c r="B35" s="76" t="s">
        <v>80</v>
      </c>
      <c r="C35" s="77" t="s">
        <v>81</v>
      </c>
      <c r="D35" s="78" t="n">
        <v>0</v>
      </c>
      <c r="E35" s="79" t="n">
        <v>0</v>
      </c>
      <c r="F35" s="63" t="n">
        <v>0</v>
      </c>
      <c r="G35" s="78" t="n">
        <v>0</v>
      </c>
      <c r="H35" s="78" t="n">
        <v>0</v>
      </c>
      <c r="I35" s="78" t="n">
        <v>0</v>
      </c>
      <c r="J35" s="78" t="n">
        <v>0</v>
      </c>
      <c r="K35" s="78" t="n">
        <v>0</v>
      </c>
      <c r="L35" s="78" t="n">
        <v>0</v>
      </c>
      <c r="M35" s="78" t="n">
        <v>0</v>
      </c>
      <c r="N35" s="78" t="n">
        <v>0</v>
      </c>
      <c r="O35" s="78" t="n">
        <v>0</v>
      </c>
      <c r="P35" s="80" t="n">
        <v>0</v>
      </c>
      <c r="Q35" s="72" t="n">
        <v>0</v>
      </c>
      <c r="R35" s="72" t="n">
        <v>0</v>
      </c>
      <c r="S35" s="72" t="n">
        <v>0</v>
      </c>
      <c r="T35" s="72" t="n">
        <v>0</v>
      </c>
      <c r="U35" s="72" t="n">
        <v>0</v>
      </c>
      <c r="V35" s="72" t="n">
        <v>0</v>
      </c>
      <c r="W35" s="72" t="n">
        <v>0</v>
      </c>
      <c r="X35" s="72" t="n">
        <v>0</v>
      </c>
      <c r="Y35" s="72" t="n">
        <v>0</v>
      </c>
      <c r="Z35" s="72" t="n">
        <v>0</v>
      </c>
      <c r="AA35" s="72" t="n">
        <v>0</v>
      </c>
      <c r="AB35" s="72" t="n">
        <v>0</v>
      </c>
      <c r="AC35" s="72" t="n">
        <v>0</v>
      </c>
      <c r="AD35" s="72" t="n">
        <v>120</v>
      </c>
      <c r="AE35" s="74" t="n">
        <v>0</v>
      </c>
      <c r="AF35" s="75" t="n">
        <v>0</v>
      </c>
      <c r="AG35" s="81" t="s">
        <v>82</v>
      </c>
      <c r="AH35" s="71"/>
    </row>
    <row r="36" customFormat="false" ht="15" hidden="false" customHeight="true" outlineLevel="0" collapsed="false">
      <c r="A36" s="76" t="n">
        <v>46031</v>
      </c>
      <c r="B36" s="76" t="s">
        <v>83</v>
      </c>
      <c r="C36" s="77"/>
      <c r="D36" s="78" t="n">
        <v>0</v>
      </c>
      <c r="E36" s="79" t="n">
        <v>4000</v>
      </c>
      <c r="F36" s="63" t="n">
        <v>0</v>
      </c>
      <c r="G36" s="78" t="n">
        <v>0</v>
      </c>
      <c r="H36" s="78" t="n">
        <v>0</v>
      </c>
      <c r="I36" s="78" t="n">
        <v>4000</v>
      </c>
      <c r="J36" s="78" t="n">
        <v>0</v>
      </c>
      <c r="K36" s="78" t="n">
        <v>0</v>
      </c>
      <c r="L36" s="78" t="n">
        <v>0</v>
      </c>
      <c r="M36" s="78" t="n">
        <v>0</v>
      </c>
      <c r="N36" s="78" t="n">
        <v>0</v>
      </c>
      <c r="O36" s="78" t="n">
        <v>0</v>
      </c>
      <c r="P36" s="80" t="n">
        <v>0</v>
      </c>
      <c r="Q36" s="72" t="n">
        <v>0</v>
      </c>
      <c r="R36" s="72" t="n">
        <v>0</v>
      </c>
      <c r="S36" s="72" t="n">
        <v>0</v>
      </c>
      <c r="T36" s="72" t="n">
        <v>0</v>
      </c>
      <c r="U36" s="72" t="n">
        <v>0</v>
      </c>
      <c r="V36" s="73" t="n">
        <v>4000</v>
      </c>
      <c r="W36" s="72" t="n">
        <v>0</v>
      </c>
      <c r="X36" s="72" t="n">
        <v>0</v>
      </c>
      <c r="Y36" s="72" t="n">
        <v>0</v>
      </c>
      <c r="Z36" s="72" t="n">
        <v>0</v>
      </c>
      <c r="AA36" s="72" t="n">
        <v>0</v>
      </c>
      <c r="AB36" s="72" t="n">
        <v>0</v>
      </c>
      <c r="AC36" s="72" t="n">
        <v>0</v>
      </c>
      <c r="AD36" s="72" t="n">
        <v>0</v>
      </c>
      <c r="AE36" s="74" t="n">
        <v>0</v>
      </c>
      <c r="AF36" s="75" t="n">
        <v>0</v>
      </c>
      <c r="AG36" s="81"/>
      <c r="AH36" s="71"/>
    </row>
    <row r="37" customFormat="false" ht="15.75" hidden="false" customHeight="true" outlineLevel="0" collapsed="false">
      <c r="A37" s="76" t="n">
        <v>46031</v>
      </c>
      <c r="B37" s="76" t="s">
        <v>84</v>
      </c>
      <c r="C37" s="77"/>
      <c r="D37" s="78" t="n">
        <v>0</v>
      </c>
      <c r="E37" s="79" t="n">
        <v>1750</v>
      </c>
      <c r="F37" s="63" t="n">
        <v>0</v>
      </c>
      <c r="G37" s="78" t="n">
        <v>0</v>
      </c>
      <c r="H37" s="78" t="n">
        <v>0</v>
      </c>
      <c r="I37" s="78" t="n">
        <v>0</v>
      </c>
      <c r="J37" s="78" t="n">
        <v>0</v>
      </c>
      <c r="K37" s="78" t="n">
        <v>1750</v>
      </c>
      <c r="L37" s="78" t="n">
        <v>0</v>
      </c>
      <c r="M37" s="78" t="n">
        <v>0</v>
      </c>
      <c r="N37" s="78" t="n">
        <v>0</v>
      </c>
      <c r="O37" s="78" t="n">
        <v>0</v>
      </c>
      <c r="P37" s="80" t="n">
        <v>0</v>
      </c>
      <c r="Q37" s="72" t="n">
        <v>0</v>
      </c>
      <c r="R37" s="72" t="n">
        <v>0</v>
      </c>
      <c r="S37" s="72" t="n">
        <v>0</v>
      </c>
      <c r="T37" s="73" t="n">
        <v>1750</v>
      </c>
      <c r="U37" s="72" t="n">
        <v>0</v>
      </c>
      <c r="V37" s="72" t="n">
        <v>0</v>
      </c>
      <c r="W37" s="72" t="n">
        <v>0</v>
      </c>
      <c r="X37" s="72" t="n">
        <v>0</v>
      </c>
      <c r="Y37" s="72" t="n">
        <v>0</v>
      </c>
      <c r="Z37" s="72" t="n">
        <v>0</v>
      </c>
      <c r="AA37" s="72" t="n">
        <v>0</v>
      </c>
      <c r="AB37" s="72" t="n">
        <v>0</v>
      </c>
      <c r="AC37" s="72" t="n">
        <v>0</v>
      </c>
      <c r="AD37" s="72" t="n">
        <v>0</v>
      </c>
      <c r="AE37" s="74" t="n">
        <v>0</v>
      </c>
      <c r="AF37" s="75" t="n">
        <v>0</v>
      </c>
      <c r="AG37" s="81" t="s">
        <v>85</v>
      </c>
      <c r="AH37" s="71"/>
    </row>
    <row r="38" customFormat="false" ht="15.75" hidden="false" customHeight="true" outlineLevel="0" collapsed="false">
      <c r="A38" s="76" t="n">
        <v>46031</v>
      </c>
      <c r="B38" s="76" t="s">
        <v>86</v>
      </c>
      <c r="C38" s="77" t="s">
        <v>48</v>
      </c>
      <c r="D38" s="78" t="n">
        <v>0</v>
      </c>
      <c r="E38" s="79" t="n">
        <v>0</v>
      </c>
      <c r="F38" s="63" t="n">
        <v>0</v>
      </c>
      <c r="G38" s="78" t="n">
        <v>0</v>
      </c>
      <c r="H38" s="78" t="n">
        <v>0</v>
      </c>
      <c r="I38" s="78" t="n">
        <v>0</v>
      </c>
      <c r="J38" s="78" t="n">
        <v>0</v>
      </c>
      <c r="K38" s="78" t="n">
        <v>0</v>
      </c>
      <c r="L38" s="78" t="n">
        <v>0</v>
      </c>
      <c r="M38" s="78" t="n">
        <v>0</v>
      </c>
      <c r="N38" s="78" t="n">
        <v>0</v>
      </c>
      <c r="O38" s="78" t="n">
        <v>0</v>
      </c>
      <c r="P38" s="80" t="n">
        <v>0</v>
      </c>
      <c r="Q38" s="72" t="n">
        <v>0</v>
      </c>
      <c r="R38" s="72" t="n">
        <v>0</v>
      </c>
      <c r="S38" s="72" t="n">
        <v>0</v>
      </c>
      <c r="T38" s="72" t="n">
        <v>0</v>
      </c>
      <c r="U38" s="72" t="n">
        <v>0</v>
      </c>
      <c r="V38" s="73" t="n">
        <v>120</v>
      </c>
      <c r="W38" s="72" t="n">
        <v>0</v>
      </c>
      <c r="X38" s="72" t="n">
        <v>0</v>
      </c>
      <c r="Y38" s="72" t="n">
        <v>0</v>
      </c>
      <c r="Z38" s="72" t="n">
        <v>0</v>
      </c>
      <c r="AA38" s="72" t="n">
        <v>0</v>
      </c>
      <c r="AB38" s="72" t="n">
        <v>0</v>
      </c>
      <c r="AC38" s="72" t="n">
        <v>0</v>
      </c>
      <c r="AD38" s="72" t="n">
        <v>0</v>
      </c>
      <c r="AE38" s="74" t="n">
        <v>0</v>
      </c>
      <c r="AF38" s="75" t="n">
        <v>0</v>
      </c>
      <c r="AG38" s="81"/>
      <c r="AH38" s="71"/>
    </row>
    <row r="39" customFormat="false" ht="15.75" hidden="false" customHeight="true" outlineLevel="0" collapsed="false">
      <c r="A39" s="76" t="n">
        <v>46031</v>
      </c>
      <c r="B39" s="76" t="s">
        <v>87</v>
      </c>
      <c r="C39" s="77" t="s">
        <v>53</v>
      </c>
      <c r="D39" s="78" t="n">
        <v>0</v>
      </c>
      <c r="E39" s="79" t="n">
        <v>0</v>
      </c>
      <c r="F39" s="63" t="n">
        <v>0</v>
      </c>
      <c r="G39" s="78" t="n">
        <v>0</v>
      </c>
      <c r="H39" s="78" t="n">
        <v>0</v>
      </c>
      <c r="I39" s="78" t="n">
        <v>0</v>
      </c>
      <c r="J39" s="78" t="n">
        <v>0</v>
      </c>
      <c r="K39" s="78" t="n">
        <v>0</v>
      </c>
      <c r="L39" s="78" t="n">
        <v>0</v>
      </c>
      <c r="M39" s="78" t="n">
        <v>0</v>
      </c>
      <c r="N39" s="78" t="n">
        <v>0</v>
      </c>
      <c r="O39" s="78" t="n">
        <v>0</v>
      </c>
      <c r="P39" s="80" t="n">
        <v>0</v>
      </c>
      <c r="Q39" s="72" t="n">
        <v>0</v>
      </c>
      <c r="R39" s="72" t="n">
        <v>0</v>
      </c>
      <c r="S39" s="72" t="n">
        <v>0</v>
      </c>
      <c r="T39" s="72" t="n">
        <v>0</v>
      </c>
      <c r="U39" s="72" t="n">
        <v>0</v>
      </c>
      <c r="V39" s="72" t="n">
        <v>0</v>
      </c>
      <c r="W39" s="72" t="n">
        <v>0</v>
      </c>
      <c r="X39" s="73" t="n">
        <v>1478</v>
      </c>
      <c r="Y39" s="72" t="n">
        <v>0</v>
      </c>
      <c r="Z39" s="72" t="n">
        <v>0</v>
      </c>
      <c r="AA39" s="72" t="n">
        <v>0</v>
      </c>
      <c r="AB39" s="72" t="n">
        <v>0</v>
      </c>
      <c r="AC39" s="72" t="n">
        <v>0</v>
      </c>
      <c r="AD39" s="72" t="n">
        <v>0</v>
      </c>
      <c r="AE39" s="74" t="n">
        <v>0</v>
      </c>
      <c r="AF39" s="75" t="n">
        <v>0</v>
      </c>
      <c r="AG39" s="81"/>
      <c r="AH39" s="71"/>
    </row>
    <row r="40" customFormat="false" ht="15.75" hidden="false" customHeight="true" outlineLevel="0" collapsed="false">
      <c r="A40" s="76" t="n">
        <v>46034</v>
      </c>
      <c r="B40" s="76" t="s">
        <v>88</v>
      </c>
      <c r="C40" s="77" t="s">
        <v>46</v>
      </c>
      <c r="D40" s="78" t="n">
        <v>600</v>
      </c>
      <c r="E40" s="79" t="n">
        <v>0</v>
      </c>
      <c r="F40" s="63" t="n">
        <v>0</v>
      </c>
      <c r="G40" s="78" t="n">
        <v>0</v>
      </c>
      <c r="H40" s="78" t="n">
        <v>0</v>
      </c>
      <c r="I40" s="78" t="n">
        <v>0</v>
      </c>
      <c r="J40" s="78" t="n">
        <v>0</v>
      </c>
      <c r="K40" s="78" t="n">
        <v>0</v>
      </c>
      <c r="L40" s="78" t="n">
        <v>0</v>
      </c>
      <c r="M40" s="78" t="n">
        <v>0</v>
      </c>
      <c r="N40" s="78" t="n">
        <v>0</v>
      </c>
      <c r="O40" s="78" t="n">
        <v>0</v>
      </c>
      <c r="P40" s="80" t="n">
        <v>0</v>
      </c>
      <c r="Q40" s="72" t="n">
        <v>0</v>
      </c>
      <c r="R40" s="73" t="n">
        <v>600</v>
      </c>
      <c r="S40" s="72" t="n">
        <v>0</v>
      </c>
      <c r="T40" s="72" t="n">
        <v>0</v>
      </c>
      <c r="U40" s="72" t="n">
        <v>0</v>
      </c>
      <c r="V40" s="72" t="n">
        <v>0</v>
      </c>
      <c r="W40" s="72" t="n">
        <v>0</v>
      </c>
      <c r="X40" s="72" t="n">
        <v>0</v>
      </c>
      <c r="Y40" s="72" t="n">
        <v>0</v>
      </c>
      <c r="Z40" s="72" t="n">
        <v>0</v>
      </c>
      <c r="AA40" s="72" t="n">
        <v>0</v>
      </c>
      <c r="AB40" s="72" t="n">
        <v>0</v>
      </c>
      <c r="AC40" s="72" t="n">
        <v>0</v>
      </c>
      <c r="AD40" s="72" t="n">
        <v>0</v>
      </c>
      <c r="AE40" s="74" t="n">
        <v>0</v>
      </c>
      <c r="AF40" s="75" t="n">
        <v>0</v>
      </c>
      <c r="AG40" s="81"/>
      <c r="AH40" s="71" t="s">
        <v>89</v>
      </c>
    </row>
    <row r="41" customFormat="false" ht="15.75" hidden="false" customHeight="true" outlineLevel="0" collapsed="false">
      <c r="A41" s="76" t="n">
        <v>46034</v>
      </c>
      <c r="B41" s="76" t="s">
        <v>88</v>
      </c>
      <c r="C41" s="77" t="s">
        <v>46</v>
      </c>
      <c r="D41" s="78" t="n">
        <v>0</v>
      </c>
      <c r="E41" s="79" t="n">
        <v>8800</v>
      </c>
      <c r="F41" s="63" t="n">
        <v>600</v>
      </c>
      <c r="G41" s="78"/>
      <c r="H41" s="78" t="n">
        <v>0</v>
      </c>
      <c r="I41" s="78" t="n">
        <v>3200</v>
      </c>
      <c r="J41" s="78" t="n">
        <v>5500</v>
      </c>
      <c r="K41" s="78" t="n">
        <v>100</v>
      </c>
      <c r="L41" s="78" t="n">
        <v>0</v>
      </c>
      <c r="M41" s="78" t="n">
        <v>0</v>
      </c>
      <c r="N41" s="78" t="n">
        <v>0</v>
      </c>
      <c r="O41" s="78" t="n">
        <v>0</v>
      </c>
      <c r="P41" s="80" t="n">
        <v>0</v>
      </c>
      <c r="Q41" s="72" t="n">
        <v>0</v>
      </c>
      <c r="R41" s="72" t="n">
        <v>0</v>
      </c>
      <c r="S41" s="72" t="n">
        <v>0</v>
      </c>
      <c r="T41" s="72" t="n">
        <v>0</v>
      </c>
      <c r="U41" s="73" t="n">
        <v>8800</v>
      </c>
      <c r="V41" s="72" t="n">
        <v>0</v>
      </c>
      <c r="W41" s="72" t="n">
        <v>0</v>
      </c>
      <c r="X41" s="72" t="n">
        <v>0</v>
      </c>
      <c r="Y41" s="72" t="n">
        <v>0</v>
      </c>
      <c r="Z41" s="72" t="n">
        <v>0</v>
      </c>
      <c r="AA41" s="72" t="n">
        <v>0</v>
      </c>
      <c r="AB41" s="72" t="n">
        <v>0</v>
      </c>
      <c r="AC41" s="72" t="n">
        <v>0</v>
      </c>
      <c r="AD41" s="72" t="n">
        <v>0</v>
      </c>
      <c r="AE41" s="74" t="n">
        <v>0</v>
      </c>
      <c r="AF41" s="75" t="n">
        <v>0</v>
      </c>
      <c r="AG41" s="81"/>
      <c r="AH41" s="71" t="s">
        <v>89</v>
      </c>
    </row>
    <row r="42" customFormat="false" ht="15.75" hidden="false" customHeight="true" outlineLevel="0" collapsed="false">
      <c r="A42" s="76" t="n">
        <v>46034</v>
      </c>
      <c r="B42" s="76" t="s">
        <v>90</v>
      </c>
      <c r="C42" s="77" t="s">
        <v>46</v>
      </c>
      <c r="D42" s="78" t="n">
        <v>0</v>
      </c>
      <c r="E42" s="79" t="n">
        <v>3700</v>
      </c>
      <c r="F42" s="63" t="n">
        <v>0</v>
      </c>
      <c r="G42" s="78" t="n">
        <v>0</v>
      </c>
      <c r="H42" s="78" t="n">
        <v>0</v>
      </c>
      <c r="I42" s="78" t="n">
        <v>2500</v>
      </c>
      <c r="J42" s="78" t="n">
        <v>0</v>
      </c>
      <c r="K42" s="78" t="n">
        <v>1200</v>
      </c>
      <c r="L42" s="78" t="n">
        <v>0</v>
      </c>
      <c r="M42" s="78" t="n">
        <v>0</v>
      </c>
      <c r="N42" s="78" t="n">
        <v>0</v>
      </c>
      <c r="O42" s="78" t="n">
        <v>0</v>
      </c>
      <c r="P42" s="80" t="n">
        <v>0</v>
      </c>
      <c r="Q42" s="72" t="n">
        <v>0</v>
      </c>
      <c r="R42" s="72" t="n">
        <v>0</v>
      </c>
      <c r="S42" s="72" t="n">
        <v>0</v>
      </c>
      <c r="T42" s="72" t="n">
        <v>0</v>
      </c>
      <c r="U42" s="73" t="n">
        <v>3700</v>
      </c>
      <c r="V42" s="72" t="n">
        <v>0</v>
      </c>
      <c r="W42" s="72" t="n">
        <v>0</v>
      </c>
      <c r="X42" s="72" t="n">
        <v>0</v>
      </c>
      <c r="Y42" s="72" t="n">
        <v>0</v>
      </c>
      <c r="Z42" s="72" t="n">
        <v>0</v>
      </c>
      <c r="AA42" s="72" t="n">
        <v>0</v>
      </c>
      <c r="AB42" s="72" t="n">
        <v>0</v>
      </c>
      <c r="AC42" s="72" t="n">
        <v>0</v>
      </c>
      <c r="AD42" s="72" t="n">
        <v>0</v>
      </c>
      <c r="AE42" s="74" t="n">
        <v>0</v>
      </c>
      <c r="AF42" s="75" t="n">
        <v>0</v>
      </c>
      <c r="AG42" s="81"/>
      <c r="AH42" s="71" t="s">
        <v>91</v>
      </c>
    </row>
    <row r="43" customFormat="false" ht="15.75" hidden="false" customHeight="true" outlineLevel="0" collapsed="false">
      <c r="A43" s="76" t="n">
        <v>46034</v>
      </c>
      <c r="B43" s="76" t="s">
        <v>92</v>
      </c>
      <c r="C43" s="77" t="s">
        <v>46</v>
      </c>
      <c r="D43" s="78" t="n">
        <v>0</v>
      </c>
      <c r="E43" s="79" t="n">
        <v>300</v>
      </c>
      <c r="F43" s="63" t="n">
        <v>0</v>
      </c>
      <c r="G43" s="78" t="n">
        <v>0</v>
      </c>
      <c r="H43" s="78" t="n">
        <v>0</v>
      </c>
      <c r="I43" s="78" t="n">
        <v>0</v>
      </c>
      <c r="J43" s="78" t="n">
        <v>0</v>
      </c>
      <c r="K43" s="78" t="n">
        <v>300</v>
      </c>
      <c r="L43" s="78" t="n">
        <v>0</v>
      </c>
      <c r="M43" s="78" t="n">
        <v>0</v>
      </c>
      <c r="N43" s="78" t="n">
        <v>0</v>
      </c>
      <c r="O43" s="78" t="n">
        <v>0</v>
      </c>
      <c r="P43" s="80" t="n">
        <v>0</v>
      </c>
      <c r="Q43" s="73" t="n">
        <v>300</v>
      </c>
      <c r="R43" s="72" t="n">
        <v>0</v>
      </c>
      <c r="S43" s="72" t="n">
        <v>0</v>
      </c>
      <c r="T43" s="72" t="n">
        <v>0</v>
      </c>
      <c r="U43" s="72" t="n">
        <v>0</v>
      </c>
      <c r="V43" s="72" t="n">
        <v>0</v>
      </c>
      <c r="W43" s="72" t="n">
        <v>0</v>
      </c>
      <c r="X43" s="72" t="n">
        <v>0</v>
      </c>
      <c r="Y43" s="72" t="n">
        <v>0</v>
      </c>
      <c r="Z43" s="72" t="n">
        <v>0</v>
      </c>
      <c r="AA43" s="72" t="n">
        <v>0</v>
      </c>
      <c r="AB43" s="72" t="n">
        <v>0</v>
      </c>
      <c r="AC43" s="72" t="n">
        <v>0</v>
      </c>
      <c r="AD43" s="72" t="n">
        <v>0</v>
      </c>
      <c r="AE43" s="74" t="n">
        <v>0</v>
      </c>
      <c r="AF43" s="75" t="n">
        <v>0</v>
      </c>
      <c r="AG43" s="81"/>
      <c r="AH43" s="71"/>
    </row>
    <row r="44" customFormat="false" ht="15.75" hidden="false" customHeight="true" outlineLevel="0" collapsed="false">
      <c r="A44" s="76" t="n">
        <v>46034</v>
      </c>
      <c r="B44" s="76" t="s">
        <v>93</v>
      </c>
      <c r="C44" s="77" t="s">
        <v>46</v>
      </c>
      <c r="D44" s="78" t="n">
        <v>500</v>
      </c>
      <c r="E44" s="79" t="n">
        <v>0</v>
      </c>
      <c r="F44" s="63" t="n">
        <v>0</v>
      </c>
      <c r="G44" s="78" t="n">
        <v>0</v>
      </c>
      <c r="H44" s="78" t="n">
        <v>0</v>
      </c>
      <c r="I44" s="78" t="n">
        <v>0</v>
      </c>
      <c r="J44" s="78" t="n">
        <v>0</v>
      </c>
      <c r="K44" s="78" t="n">
        <v>0</v>
      </c>
      <c r="L44" s="78" t="n">
        <v>0</v>
      </c>
      <c r="M44" s="78" t="n">
        <v>0</v>
      </c>
      <c r="N44" s="78" t="n">
        <v>0</v>
      </c>
      <c r="O44" s="78" t="n">
        <v>0</v>
      </c>
      <c r="P44" s="80" t="n">
        <v>0</v>
      </c>
      <c r="Q44" s="72" t="n">
        <v>0</v>
      </c>
      <c r="R44" s="72" t="n">
        <v>0</v>
      </c>
      <c r="S44" s="72" t="n">
        <v>0</v>
      </c>
      <c r="T44" s="72" t="n">
        <v>0</v>
      </c>
      <c r="U44" s="72" t="n">
        <v>0</v>
      </c>
      <c r="V44" s="72" t="n">
        <v>0</v>
      </c>
      <c r="W44" s="72" t="n">
        <v>0</v>
      </c>
      <c r="X44" s="72" t="n">
        <v>0</v>
      </c>
      <c r="Y44" s="72" t="n">
        <v>0</v>
      </c>
      <c r="Z44" s="72" t="n">
        <v>0</v>
      </c>
      <c r="AA44" s="72" t="n">
        <v>0</v>
      </c>
      <c r="AB44" s="72" t="n">
        <v>0</v>
      </c>
      <c r="AC44" s="72" t="n">
        <v>0</v>
      </c>
      <c r="AD44" s="72" t="n">
        <v>0</v>
      </c>
      <c r="AE44" s="74" t="n">
        <v>0</v>
      </c>
      <c r="AF44" s="75" t="n">
        <v>0</v>
      </c>
      <c r="AG44" s="81" t="s">
        <v>94</v>
      </c>
      <c r="AH44" s="71"/>
    </row>
    <row r="45" customFormat="false" ht="15.75" hidden="false" customHeight="true" outlineLevel="0" collapsed="false">
      <c r="A45" s="76" t="n">
        <v>46034</v>
      </c>
      <c r="B45" s="76" t="s">
        <v>93</v>
      </c>
      <c r="C45" s="77" t="s">
        <v>46</v>
      </c>
      <c r="D45" s="78" t="n">
        <v>0</v>
      </c>
      <c r="E45" s="79" t="n">
        <v>8500</v>
      </c>
      <c r="F45" s="63" t="n">
        <v>0</v>
      </c>
      <c r="G45" s="78" t="n">
        <v>0</v>
      </c>
      <c r="H45" s="78" t="n">
        <v>0</v>
      </c>
      <c r="I45" s="78" t="n">
        <v>0</v>
      </c>
      <c r="J45" s="78" t="n">
        <v>4000</v>
      </c>
      <c r="K45" s="78" t="n">
        <v>4500</v>
      </c>
      <c r="L45" s="78" t="n">
        <v>0</v>
      </c>
      <c r="M45" s="78" t="n">
        <v>0</v>
      </c>
      <c r="N45" s="78" t="n">
        <v>0</v>
      </c>
      <c r="O45" s="78" t="n">
        <v>0</v>
      </c>
      <c r="P45" s="80" t="n">
        <v>0</v>
      </c>
      <c r="Q45" s="73" t="n">
        <v>8500</v>
      </c>
      <c r="R45" s="72" t="n">
        <v>0</v>
      </c>
      <c r="S45" s="72" t="n">
        <v>0</v>
      </c>
      <c r="T45" s="72" t="n">
        <v>0</v>
      </c>
      <c r="U45" s="72" t="n">
        <v>0</v>
      </c>
      <c r="V45" s="72" t="n">
        <v>0</v>
      </c>
      <c r="W45" s="72" t="n">
        <v>0</v>
      </c>
      <c r="X45" s="72" t="n">
        <v>0</v>
      </c>
      <c r="Y45" s="72" t="n">
        <v>0</v>
      </c>
      <c r="Z45" s="72" t="n">
        <v>0</v>
      </c>
      <c r="AA45" s="72" t="n">
        <v>0</v>
      </c>
      <c r="AB45" s="72" t="n">
        <v>0</v>
      </c>
      <c r="AC45" s="72" t="n">
        <v>0</v>
      </c>
      <c r="AD45" s="72" t="n">
        <v>0</v>
      </c>
      <c r="AE45" s="74" t="n">
        <v>0</v>
      </c>
      <c r="AF45" s="75" t="n">
        <v>0</v>
      </c>
      <c r="AG45" s="81"/>
      <c r="AH45" s="71"/>
    </row>
    <row r="46" customFormat="false" ht="15.75" hidden="false" customHeight="true" outlineLevel="0" collapsed="false">
      <c r="A46" s="76" t="n">
        <v>46034</v>
      </c>
      <c r="B46" s="76" t="s">
        <v>95</v>
      </c>
      <c r="C46" s="77" t="s">
        <v>46</v>
      </c>
      <c r="D46" s="78" t="n">
        <v>500</v>
      </c>
      <c r="E46" s="79" t="n">
        <v>0</v>
      </c>
      <c r="F46" s="63" t="n">
        <v>0</v>
      </c>
      <c r="G46" s="78" t="n">
        <v>0</v>
      </c>
      <c r="H46" s="78" t="n">
        <v>0</v>
      </c>
      <c r="I46" s="78" t="n">
        <v>0</v>
      </c>
      <c r="J46" s="78" t="n">
        <v>0</v>
      </c>
      <c r="K46" s="78" t="n">
        <v>0</v>
      </c>
      <c r="L46" s="78" t="n">
        <v>0</v>
      </c>
      <c r="M46" s="78" t="n">
        <v>0</v>
      </c>
      <c r="N46" s="78" t="n">
        <v>0</v>
      </c>
      <c r="O46" s="78" t="n">
        <v>0</v>
      </c>
      <c r="P46" s="80" t="n">
        <v>0</v>
      </c>
      <c r="Q46" s="72" t="n">
        <v>0</v>
      </c>
      <c r="R46" s="72" t="n">
        <v>0</v>
      </c>
      <c r="S46" s="72" t="n">
        <v>0</v>
      </c>
      <c r="T46" s="72" t="n">
        <v>0</v>
      </c>
      <c r="U46" s="72" t="n">
        <v>0</v>
      </c>
      <c r="V46" s="73" t="n">
        <v>1000</v>
      </c>
      <c r="W46" s="72" t="n">
        <v>0</v>
      </c>
      <c r="X46" s="72" t="n">
        <v>0</v>
      </c>
      <c r="Y46" s="72" t="n">
        <v>0</v>
      </c>
      <c r="Z46" s="72" t="n">
        <v>0</v>
      </c>
      <c r="AA46" s="72" t="n">
        <v>0</v>
      </c>
      <c r="AB46" s="72" t="n">
        <v>0</v>
      </c>
      <c r="AC46" s="72" t="n">
        <v>0</v>
      </c>
      <c r="AD46" s="72" t="n">
        <v>0</v>
      </c>
      <c r="AE46" s="74" t="n">
        <v>0</v>
      </c>
      <c r="AF46" s="75" t="n">
        <v>0</v>
      </c>
      <c r="AG46" s="81" t="s">
        <v>96</v>
      </c>
      <c r="AH46" s="71"/>
    </row>
    <row r="47" customFormat="false" ht="15.75" hidden="false" customHeight="true" outlineLevel="0" collapsed="false">
      <c r="A47" s="76" t="n">
        <v>46034</v>
      </c>
      <c r="B47" s="76" t="s">
        <v>95</v>
      </c>
      <c r="C47" s="77" t="s">
        <v>46</v>
      </c>
      <c r="D47" s="78" t="n">
        <v>0</v>
      </c>
      <c r="E47" s="79" t="n">
        <v>14900</v>
      </c>
      <c r="F47" s="63" t="n">
        <v>800</v>
      </c>
      <c r="G47" s="78" t="n">
        <v>500</v>
      </c>
      <c r="H47" s="78" t="n">
        <v>0</v>
      </c>
      <c r="I47" s="78" t="n">
        <v>0</v>
      </c>
      <c r="J47" s="78" t="n">
        <v>6000</v>
      </c>
      <c r="K47" s="78" t="n">
        <v>8400</v>
      </c>
      <c r="L47" s="78" t="n">
        <v>0</v>
      </c>
      <c r="M47" s="78" t="n">
        <v>0</v>
      </c>
      <c r="N47" s="78" t="n">
        <v>0</v>
      </c>
      <c r="O47" s="78" t="n">
        <v>0</v>
      </c>
      <c r="P47" s="80" t="n">
        <v>0</v>
      </c>
      <c r="Q47" s="73" t="n">
        <v>14900</v>
      </c>
      <c r="R47" s="72" t="n">
        <v>0</v>
      </c>
      <c r="S47" s="72" t="n">
        <v>0</v>
      </c>
      <c r="T47" s="72" t="n">
        <v>0</v>
      </c>
      <c r="U47" s="72" t="n">
        <v>0</v>
      </c>
      <c r="V47" s="72" t="n">
        <v>0</v>
      </c>
      <c r="W47" s="72" t="n">
        <v>0</v>
      </c>
      <c r="X47" s="72" t="n">
        <v>0</v>
      </c>
      <c r="Y47" s="72" t="n">
        <v>0</v>
      </c>
      <c r="Z47" s="72" t="n">
        <v>0</v>
      </c>
      <c r="AA47" s="72" t="n">
        <v>0</v>
      </c>
      <c r="AB47" s="72" t="n">
        <v>0</v>
      </c>
      <c r="AC47" s="72" t="n">
        <v>0</v>
      </c>
      <c r="AD47" s="72" t="n">
        <v>0</v>
      </c>
      <c r="AE47" s="74" t="n">
        <v>0</v>
      </c>
      <c r="AF47" s="75" t="n">
        <v>0</v>
      </c>
      <c r="AG47" s="81"/>
      <c r="AH47" s="71"/>
    </row>
    <row r="48" customFormat="false" ht="15" hidden="false" customHeight="true" outlineLevel="0" collapsed="false">
      <c r="A48" s="76" t="n">
        <v>46034</v>
      </c>
      <c r="B48" s="76" t="s">
        <v>97</v>
      </c>
      <c r="C48" s="77"/>
      <c r="D48" s="78" t="n">
        <v>0</v>
      </c>
      <c r="E48" s="79" t="n">
        <v>800</v>
      </c>
      <c r="F48" s="63" t="n">
        <v>0</v>
      </c>
      <c r="G48" s="78" t="n">
        <v>0</v>
      </c>
      <c r="H48" s="78" t="n">
        <v>0</v>
      </c>
      <c r="I48" s="78" t="n">
        <v>0</v>
      </c>
      <c r="J48" s="78" t="n">
        <v>0</v>
      </c>
      <c r="K48" s="78" t="n">
        <v>0</v>
      </c>
      <c r="L48" s="78" t="n">
        <v>800</v>
      </c>
      <c r="M48" s="78" t="n">
        <v>0</v>
      </c>
      <c r="N48" s="78" t="n">
        <v>0</v>
      </c>
      <c r="O48" s="78" t="n">
        <v>0</v>
      </c>
      <c r="P48" s="80" t="n">
        <v>0</v>
      </c>
      <c r="Q48" s="72" t="n">
        <v>0</v>
      </c>
      <c r="R48" s="72" t="n">
        <v>0</v>
      </c>
      <c r="S48" s="72" t="n">
        <v>0</v>
      </c>
      <c r="T48" s="72" t="n">
        <v>0</v>
      </c>
      <c r="U48" s="72" t="n">
        <v>0</v>
      </c>
      <c r="V48" s="73" t="n">
        <v>800</v>
      </c>
      <c r="W48" s="72" t="n">
        <v>0</v>
      </c>
      <c r="X48" s="72" t="n">
        <v>0</v>
      </c>
      <c r="Y48" s="72" t="n">
        <v>0</v>
      </c>
      <c r="Z48" s="72" t="n">
        <v>0</v>
      </c>
      <c r="AA48" s="72" t="n">
        <v>0</v>
      </c>
      <c r="AB48" s="72" t="n">
        <v>0</v>
      </c>
      <c r="AC48" s="72" t="n">
        <v>0</v>
      </c>
      <c r="AD48" s="72" t="n">
        <v>0</v>
      </c>
      <c r="AE48" s="74" t="n">
        <v>0</v>
      </c>
      <c r="AF48" s="75" t="n">
        <v>0</v>
      </c>
      <c r="AG48" s="81" t="s">
        <v>98</v>
      </c>
      <c r="AH48" s="71"/>
    </row>
    <row r="49" customFormat="false" ht="15.75" hidden="false" customHeight="true" outlineLevel="0" collapsed="false">
      <c r="A49" s="76" t="n">
        <v>46034</v>
      </c>
      <c r="B49" s="76" t="s">
        <v>99</v>
      </c>
      <c r="C49" s="77" t="s">
        <v>46</v>
      </c>
      <c r="D49" s="78" t="n">
        <v>0</v>
      </c>
      <c r="E49" s="79" t="n">
        <v>4000</v>
      </c>
      <c r="F49" s="63" t="n">
        <v>0</v>
      </c>
      <c r="G49" s="78" t="n">
        <v>0</v>
      </c>
      <c r="H49" s="78" t="n">
        <v>0</v>
      </c>
      <c r="I49" s="78" t="n">
        <v>0</v>
      </c>
      <c r="J49" s="78" t="n">
        <v>4000</v>
      </c>
      <c r="K49" s="78" t="n">
        <v>0</v>
      </c>
      <c r="L49" s="78" t="n">
        <v>0</v>
      </c>
      <c r="M49" s="78" t="n">
        <v>0</v>
      </c>
      <c r="N49" s="78" t="n">
        <v>0</v>
      </c>
      <c r="O49" s="78" t="n">
        <v>0</v>
      </c>
      <c r="P49" s="80" t="n">
        <v>0</v>
      </c>
      <c r="Q49" s="72" t="n">
        <v>0</v>
      </c>
      <c r="R49" s="73" t="n">
        <v>4000</v>
      </c>
      <c r="S49" s="72" t="n">
        <v>0</v>
      </c>
      <c r="T49" s="72" t="n">
        <v>0</v>
      </c>
      <c r="U49" s="72" t="n">
        <v>0</v>
      </c>
      <c r="V49" s="72" t="n">
        <v>0</v>
      </c>
      <c r="W49" s="72" t="n">
        <v>0</v>
      </c>
      <c r="X49" s="72" t="n">
        <v>0</v>
      </c>
      <c r="Y49" s="72" t="n">
        <v>0</v>
      </c>
      <c r="Z49" s="72" t="n">
        <v>0</v>
      </c>
      <c r="AA49" s="72" t="n">
        <v>0</v>
      </c>
      <c r="AB49" s="72" t="n">
        <v>0</v>
      </c>
      <c r="AC49" s="72" t="n">
        <v>0</v>
      </c>
      <c r="AD49" s="72" t="n">
        <v>0</v>
      </c>
      <c r="AE49" s="74" t="n">
        <v>0</v>
      </c>
      <c r="AF49" s="75" t="n">
        <v>0</v>
      </c>
      <c r="AG49" s="81"/>
      <c r="AH49" s="71" t="s">
        <v>100</v>
      </c>
    </row>
    <row r="50" customFormat="false" ht="15.75" hidden="false" customHeight="true" outlineLevel="0" collapsed="false">
      <c r="A50" s="76" t="n">
        <v>46034</v>
      </c>
      <c r="B50" s="76" t="s">
        <v>101</v>
      </c>
      <c r="C50" s="77" t="s">
        <v>46</v>
      </c>
      <c r="D50" s="78" t="n">
        <v>600</v>
      </c>
      <c r="E50" s="79" t="n">
        <v>0</v>
      </c>
      <c r="F50" s="63" t="n">
        <v>0</v>
      </c>
      <c r="G50" s="78" t="n">
        <v>0</v>
      </c>
      <c r="H50" s="78" t="n">
        <v>0</v>
      </c>
      <c r="I50" s="78" t="n">
        <v>0</v>
      </c>
      <c r="J50" s="78" t="n">
        <v>0</v>
      </c>
      <c r="K50" s="78" t="n">
        <v>0</v>
      </c>
      <c r="L50" s="78" t="n">
        <v>0</v>
      </c>
      <c r="M50" s="78" t="n">
        <v>0</v>
      </c>
      <c r="N50" s="78" t="n">
        <v>0</v>
      </c>
      <c r="O50" s="78" t="n">
        <v>0</v>
      </c>
      <c r="P50" s="80" t="n">
        <v>0</v>
      </c>
      <c r="Q50" s="72" t="n">
        <v>0</v>
      </c>
      <c r="R50" s="73" t="n">
        <v>480</v>
      </c>
      <c r="S50" s="72" t="n">
        <v>0</v>
      </c>
      <c r="T50" s="72" t="n">
        <v>0</v>
      </c>
      <c r="U50" s="72" t="n">
        <v>0</v>
      </c>
      <c r="V50" s="72" t="n">
        <v>0</v>
      </c>
      <c r="W50" s="72" t="n">
        <v>0</v>
      </c>
      <c r="X50" s="72" t="n">
        <v>0</v>
      </c>
      <c r="Y50" s="72" t="n">
        <v>0</v>
      </c>
      <c r="Z50" s="72" t="n">
        <v>0</v>
      </c>
      <c r="AA50" s="72" t="n">
        <v>0</v>
      </c>
      <c r="AB50" s="72" t="n">
        <v>0</v>
      </c>
      <c r="AC50" s="72" t="n">
        <v>0</v>
      </c>
      <c r="AD50" s="72" t="n">
        <v>0</v>
      </c>
      <c r="AE50" s="74" t="n">
        <v>0</v>
      </c>
      <c r="AF50" s="75" t="n">
        <v>0</v>
      </c>
      <c r="AG50" s="81"/>
      <c r="AH50" s="71" t="s">
        <v>102</v>
      </c>
    </row>
    <row r="51" customFormat="false" ht="15.75" hidden="false" customHeight="true" outlineLevel="0" collapsed="false">
      <c r="A51" s="76" t="n">
        <v>46034</v>
      </c>
      <c r="B51" s="76" t="s">
        <v>103</v>
      </c>
      <c r="C51" s="77" t="s">
        <v>48</v>
      </c>
      <c r="D51" s="78" t="n">
        <v>0</v>
      </c>
      <c r="E51" s="79" t="n">
        <v>0</v>
      </c>
      <c r="F51" s="63" t="n">
        <v>0</v>
      </c>
      <c r="G51" s="78" t="n">
        <v>0</v>
      </c>
      <c r="H51" s="78" t="n">
        <v>0</v>
      </c>
      <c r="I51" s="78" t="n">
        <v>0</v>
      </c>
      <c r="J51" s="78" t="n">
        <v>0</v>
      </c>
      <c r="K51" s="78" t="n">
        <v>0</v>
      </c>
      <c r="L51" s="78" t="n">
        <v>0</v>
      </c>
      <c r="M51" s="78" t="n">
        <v>0</v>
      </c>
      <c r="N51" s="78" t="n">
        <v>0</v>
      </c>
      <c r="O51" s="78" t="n">
        <v>0</v>
      </c>
      <c r="P51" s="80" t="n">
        <v>0</v>
      </c>
      <c r="Q51" s="72" t="n">
        <v>0</v>
      </c>
      <c r="R51" s="73" t="n">
        <v>5000</v>
      </c>
      <c r="S51" s="72" t="n">
        <v>0</v>
      </c>
      <c r="T51" s="72" t="n">
        <v>0</v>
      </c>
      <c r="U51" s="72" t="n">
        <v>0</v>
      </c>
      <c r="V51" s="72" t="n">
        <v>0</v>
      </c>
      <c r="W51" s="72" t="n">
        <v>0</v>
      </c>
      <c r="X51" s="72" t="n">
        <v>0</v>
      </c>
      <c r="Y51" s="72" t="n">
        <v>0</v>
      </c>
      <c r="Z51" s="72" t="n">
        <v>0</v>
      </c>
      <c r="AA51" s="72" t="n">
        <v>0</v>
      </c>
      <c r="AB51" s="72" t="n">
        <v>0</v>
      </c>
      <c r="AC51" s="72" t="n">
        <v>0</v>
      </c>
      <c r="AD51" s="72" t="n">
        <v>0</v>
      </c>
      <c r="AE51" s="74" t="n">
        <v>0</v>
      </c>
      <c r="AF51" s="75" t="n">
        <v>0</v>
      </c>
      <c r="AG51" s="81"/>
      <c r="AH51" s="71" t="s">
        <v>104</v>
      </c>
    </row>
    <row r="52" customFormat="false" ht="15.75" hidden="false" customHeight="true" outlineLevel="0" collapsed="false">
      <c r="A52" s="76" t="n">
        <v>46034</v>
      </c>
      <c r="B52" s="76" t="s">
        <v>105</v>
      </c>
      <c r="C52" s="77" t="s">
        <v>48</v>
      </c>
      <c r="D52" s="78" t="n">
        <v>0</v>
      </c>
      <c r="E52" s="79" t="n">
        <v>0</v>
      </c>
      <c r="F52" s="63" t="n">
        <v>0</v>
      </c>
      <c r="G52" s="78" t="n">
        <v>0</v>
      </c>
      <c r="H52" s="78" t="n">
        <v>0</v>
      </c>
      <c r="I52" s="78" t="n">
        <v>0</v>
      </c>
      <c r="J52" s="78" t="n">
        <v>0</v>
      </c>
      <c r="K52" s="78" t="n">
        <v>0</v>
      </c>
      <c r="L52" s="78" t="n">
        <v>0</v>
      </c>
      <c r="M52" s="78" t="n">
        <v>0</v>
      </c>
      <c r="N52" s="78" t="n">
        <v>0</v>
      </c>
      <c r="O52" s="78" t="n">
        <v>0</v>
      </c>
      <c r="P52" s="80" t="n">
        <v>0</v>
      </c>
      <c r="Q52" s="72" t="n">
        <v>0</v>
      </c>
      <c r="R52" s="72" t="n">
        <v>0</v>
      </c>
      <c r="S52" s="72" t="n">
        <v>0</v>
      </c>
      <c r="T52" s="72" t="n">
        <v>0</v>
      </c>
      <c r="U52" s="72" t="n">
        <v>0</v>
      </c>
      <c r="V52" s="73" t="n">
        <v>3300</v>
      </c>
      <c r="W52" s="72" t="n">
        <v>0</v>
      </c>
      <c r="X52" s="72" t="n">
        <v>0</v>
      </c>
      <c r="Y52" s="72" t="n">
        <v>0</v>
      </c>
      <c r="Z52" s="72" t="n">
        <v>0</v>
      </c>
      <c r="AA52" s="72" t="n">
        <v>0</v>
      </c>
      <c r="AB52" s="72" t="n">
        <v>0</v>
      </c>
      <c r="AC52" s="72" t="n">
        <v>0</v>
      </c>
      <c r="AD52" s="72" t="n">
        <v>0</v>
      </c>
      <c r="AE52" s="74" t="n">
        <v>0</v>
      </c>
      <c r="AF52" s="75" t="n">
        <v>0</v>
      </c>
      <c r="AG52" s="81"/>
      <c r="AH52" s="71"/>
    </row>
    <row r="53" customFormat="false" ht="15.75" hidden="false" customHeight="true" outlineLevel="0" collapsed="false">
      <c r="A53" s="76" t="n">
        <v>46034</v>
      </c>
      <c r="B53" s="76" t="s">
        <v>106</v>
      </c>
      <c r="C53" s="77" t="s">
        <v>53</v>
      </c>
      <c r="D53" s="78" t="n">
        <v>0</v>
      </c>
      <c r="E53" s="79" t="n">
        <v>0</v>
      </c>
      <c r="F53" s="63" t="n">
        <v>0</v>
      </c>
      <c r="G53" s="78" t="n">
        <v>0</v>
      </c>
      <c r="H53" s="78" t="n">
        <v>0</v>
      </c>
      <c r="I53" s="78" t="n">
        <v>0</v>
      </c>
      <c r="J53" s="78" t="n">
        <v>0</v>
      </c>
      <c r="K53" s="78" t="n">
        <v>0</v>
      </c>
      <c r="L53" s="78" t="n">
        <v>0</v>
      </c>
      <c r="M53" s="78" t="n">
        <v>0</v>
      </c>
      <c r="N53" s="78" t="n">
        <v>0</v>
      </c>
      <c r="O53" s="78" t="n">
        <v>0</v>
      </c>
      <c r="P53" s="80" t="n">
        <v>0</v>
      </c>
      <c r="Q53" s="72" t="n">
        <v>0</v>
      </c>
      <c r="R53" s="72" t="n">
        <v>0</v>
      </c>
      <c r="S53" s="72" t="n">
        <v>0</v>
      </c>
      <c r="T53" s="72" t="n">
        <v>0</v>
      </c>
      <c r="U53" s="73" t="n">
        <v>2250</v>
      </c>
      <c r="V53" s="72" t="n">
        <v>0</v>
      </c>
      <c r="W53" s="72" t="n">
        <v>0</v>
      </c>
      <c r="X53" s="72" t="n">
        <v>0</v>
      </c>
      <c r="Y53" s="72" t="n">
        <v>0</v>
      </c>
      <c r="Z53" s="72" t="n">
        <v>0</v>
      </c>
      <c r="AA53" s="72" t="n">
        <v>0</v>
      </c>
      <c r="AB53" s="72" t="n">
        <v>0</v>
      </c>
      <c r="AC53" s="72" t="n">
        <v>0</v>
      </c>
      <c r="AD53" s="72" t="n">
        <v>0</v>
      </c>
      <c r="AE53" s="74" t="n">
        <v>0</v>
      </c>
      <c r="AF53" s="75" t="n">
        <v>0</v>
      </c>
      <c r="AG53" s="81"/>
      <c r="AH53" s="71" t="s">
        <v>107</v>
      </c>
    </row>
    <row r="54" customFormat="false" ht="15.75" hidden="false" customHeight="true" outlineLevel="0" collapsed="false">
      <c r="A54" s="76" t="n">
        <v>46034</v>
      </c>
      <c r="B54" s="76" t="s">
        <v>108</v>
      </c>
      <c r="C54" s="77" t="s">
        <v>53</v>
      </c>
      <c r="D54" s="78" t="n">
        <v>0</v>
      </c>
      <c r="E54" s="79" t="n">
        <v>0</v>
      </c>
      <c r="F54" s="63" t="n">
        <v>0</v>
      </c>
      <c r="G54" s="78" t="n">
        <v>0</v>
      </c>
      <c r="H54" s="78" t="n">
        <v>0</v>
      </c>
      <c r="I54" s="78" t="n">
        <v>0</v>
      </c>
      <c r="J54" s="78" t="n">
        <v>0</v>
      </c>
      <c r="K54" s="78" t="n">
        <v>0</v>
      </c>
      <c r="L54" s="78" t="n">
        <v>0</v>
      </c>
      <c r="M54" s="78" t="n">
        <v>0</v>
      </c>
      <c r="N54" s="78" t="n">
        <v>0</v>
      </c>
      <c r="O54" s="78" t="n">
        <v>0</v>
      </c>
      <c r="P54" s="80" t="n">
        <v>0</v>
      </c>
      <c r="Q54" s="72" t="n">
        <v>0</v>
      </c>
      <c r="R54" s="72" t="n">
        <v>0</v>
      </c>
      <c r="S54" s="72" t="n">
        <v>0</v>
      </c>
      <c r="T54" s="72" t="n">
        <v>0</v>
      </c>
      <c r="U54" s="72" t="n">
        <v>0</v>
      </c>
      <c r="V54" s="72" t="n">
        <v>0</v>
      </c>
      <c r="W54" s="72" t="n">
        <v>0</v>
      </c>
      <c r="X54" s="73" t="n">
        <v>1000</v>
      </c>
      <c r="Y54" s="72" t="n">
        <v>0</v>
      </c>
      <c r="Z54" s="72" t="n">
        <v>0</v>
      </c>
      <c r="AA54" s="72" t="n">
        <v>0</v>
      </c>
      <c r="AB54" s="72" t="n">
        <v>0</v>
      </c>
      <c r="AC54" s="72" t="n">
        <v>0</v>
      </c>
      <c r="AD54" s="72" t="n">
        <v>0</v>
      </c>
      <c r="AE54" s="74" t="n">
        <v>0</v>
      </c>
      <c r="AF54" s="75" t="n">
        <v>0</v>
      </c>
      <c r="AG54" s="81"/>
      <c r="AH54" s="71"/>
    </row>
    <row r="55" customFormat="false" ht="15.75" hidden="false" customHeight="true" outlineLevel="0" collapsed="false">
      <c r="A55" s="76" t="n">
        <v>46034</v>
      </c>
      <c r="B55" s="76" t="s">
        <v>109</v>
      </c>
      <c r="C55" s="77" t="s">
        <v>53</v>
      </c>
      <c r="D55" s="78" t="n">
        <v>0</v>
      </c>
      <c r="E55" s="79" t="n">
        <v>0</v>
      </c>
      <c r="F55" s="63" t="n">
        <v>0</v>
      </c>
      <c r="G55" s="78" t="n">
        <v>0</v>
      </c>
      <c r="H55" s="78" t="n">
        <v>0</v>
      </c>
      <c r="I55" s="78" t="n">
        <v>0</v>
      </c>
      <c r="J55" s="78" t="n">
        <v>0</v>
      </c>
      <c r="K55" s="78" t="n">
        <v>0</v>
      </c>
      <c r="L55" s="78" t="n">
        <v>0</v>
      </c>
      <c r="M55" s="78" t="n">
        <v>0</v>
      </c>
      <c r="N55" s="78" t="n">
        <v>0</v>
      </c>
      <c r="O55" s="78" t="n">
        <v>0</v>
      </c>
      <c r="P55" s="80" t="n">
        <v>0</v>
      </c>
      <c r="Q55" s="72" t="n">
        <v>0</v>
      </c>
      <c r="R55" s="72" t="n">
        <v>0</v>
      </c>
      <c r="S55" s="72" t="n">
        <v>0</v>
      </c>
      <c r="T55" s="72" t="n">
        <v>0</v>
      </c>
      <c r="U55" s="72" t="n">
        <v>0</v>
      </c>
      <c r="V55" s="72" t="n">
        <v>0</v>
      </c>
      <c r="W55" s="72" t="n">
        <v>0</v>
      </c>
      <c r="X55" s="73" t="n">
        <v>851.07</v>
      </c>
      <c r="Y55" s="72" t="n">
        <v>0</v>
      </c>
      <c r="Z55" s="72" t="n">
        <v>0</v>
      </c>
      <c r="AA55" s="72" t="n">
        <v>0</v>
      </c>
      <c r="AB55" s="72" t="n">
        <v>0</v>
      </c>
      <c r="AC55" s="72" t="n">
        <v>0</v>
      </c>
      <c r="AD55" s="72" t="n">
        <v>0</v>
      </c>
      <c r="AE55" s="74" t="n">
        <v>0</v>
      </c>
      <c r="AF55" s="75" t="n">
        <v>0</v>
      </c>
      <c r="AG55" s="81"/>
      <c r="AH55" s="71"/>
    </row>
    <row r="56" customFormat="false" ht="15.75" hidden="false" customHeight="true" outlineLevel="0" collapsed="false">
      <c r="A56" s="76" t="n">
        <v>46034</v>
      </c>
      <c r="B56" s="76" t="s">
        <v>58</v>
      </c>
      <c r="C56" s="77" t="s">
        <v>53</v>
      </c>
      <c r="D56" s="78" t="n">
        <v>0</v>
      </c>
      <c r="E56" s="79" t="n">
        <v>0</v>
      </c>
      <c r="F56" s="63" t="n">
        <v>0</v>
      </c>
      <c r="G56" s="78" t="n">
        <v>0</v>
      </c>
      <c r="H56" s="78" t="n">
        <v>0</v>
      </c>
      <c r="I56" s="78" t="n">
        <v>0</v>
      </c>
      <c r="J56" s="78" t="n">
        <v>0</v>
      </c>
      <c r="K56" s="78" t="n">
        <v>0</v>
      </c>
      <c r="L56" s="78" t="n">
        <v>0</v>
      </c>
      <c r="M56" s="78" t="n">
        <v>0</v>
      </c>
      <c r="N56" s="78" t="n">
        <v>0</v>
      </c>
      <c r="O56" s="78" t="n">
        <v>0</v>
      </c>
      <c r="P56" s="80" t="n">
        <v>0</v>
      </c>
      <c r="Q56" s="72" t="n">
        <v>0</v>
      </c>
      <c r="R56" s="72" t="n">
        <v>0</v>
      </c>
      <c r="S56" s="72" t="n">
        <v>0</v>
      </c>
      <c r="T56" s="72" t="n">
        <v>0</v>
      </c>
      <c r="U56" s="72" t="n">
        <v>0</v>
      </c>
      <c r="V56" s="72" t="n">
        <v>0</v>
      </c>
      <c r="W56" s="72" t="n">
        <v>0</v>
      </c>
      <c r="X56" s="73" t="n">
        <v>500</v>
      </c>
      <c r="Y56" s="72" t="n">
        <v>0</v>
      </c>
      <c r="Z56" s="72" t="n">
        <v>0</v>
      </c>
      <c r="AA56" s="72" t="n">
        <v>0</v>
      </c>
      <c r="AB56" s="72" t="n">
        <v>0</v>
      </c>
      <c r="AC56" s="72" t="n">
        <v>0</v>
      </c>
      <c r="AD56" s="72" t="n">
        <v>0</v>
      </c>
      <c r="AE56" s="74" t="n">
        <v>0</v>
      </c>
      <c r="AF56" s="75" t="n">
        <v>0</v>
      </c>
      <c r="AG56" s="81"/>
      <c r="AH56" s="71"/>
    </row>
    <row r="57" customFormat="false" ht="15.75" hidden="false" customHeight="true" outlineLevel="0" collapsed="false">
      <c r="A57" s="76" t="n">
        <v>46034</v>
      </c>
      <c r="B57" s="76" t="s">
        <v>110</v>
      </c>
      <c r="C57" s="77" t="s">
        <v>46</v>
      </c>
      <c r="D57" s="78" t="n">
        <v>0</v>
      </c>
      <c r="E57" s="79" t="n">
        <v>4440</v>
      </c>
      <c r="F57" s="63" t="n">
        <v>0</v>
      </c>
      <c r="G57" s="78" t="n">
        <v>0</v>
      </c>
      <c r="H57" s="78" t="n">
        <v>0</v>
      </c>
      <c r="I57" s="78" t="n">
        <v>0</v>
      </c>
      <c r="J57" s="78" t="n">
        <v>0</v>
      </c>
      <c r="K57" s="78" t="n">
        <v>4440</v>
      </c>
      <c r="L57" s="78" t="n">
        <v>0</v>
      </c>
      <c r="M57" s="78" t="n">
        <v>0</v>
      </c>
      <c r="N57" s="78" t="n">
        <v>0</v>
      </c>
      <c r="O57" s="78" t="n">
        <v>0</v>
      </c>
      <c r="P57" s="80" t="n">
        <v>0</v>
      </c>
      <c r="Q57" s="72" t="n">
        <v>0</v>
      </c>
      <c r="R57" s="72" t="n">
        <v>0</v>
      </c>
      <c r="S57" s="72" t="n">
        <v>0</v>
      </c>
      <c r="T57" s="72" t="n">
        <v>0</v>
      </c>
      <c r="U57" s="72" t="n">
        <v>0</v>
      </c>
      <c r="V57" s="72" t="n">
        <v>0</v>
      </c>
      <c r="W57" s="72" t="n">
        <v>0</v>
      </c>
      <c r="X57" s="72" t="n">
        <v>0</v>
      </c>
      <c r="Y57" s="72" t="n">
        <v>0</v>
      </c>
      <c r="Z57" s="72" t="n">
        <v>0</v>
      </c>
      <c r="AA57" s="72" t="n">
        <v>0</v>
      </c>
      <c r="AB57" s="72" t="n">
        <v>0</v>
      </c>
      <c r="AC57" s="72" t="n">
        <v>0</v>
      </c>
      <c r="AD57" s="72" t="n">
        <v>0</v>
      </c>
      <c r="AE57" s="74" t="n">
        <v>4440</v>
      </c>
      <c r="AF57" s="75" t="n">
        <v>0</v>
      </c>
      <c r="AG57" s="81" t="s">
        <v>111</v>
      </c>
      <c r="AH57" s="71"/>
    </row>
    <row r="58" customFormat="false" ht="15.75" hidden="false" customHeight="true" outlineLevel="0" collapsed="false">
      <c r="A58" s="76" t="n">
        <v>46035</v>
      </c>
      <c r="B58" s="76" t="s">
        <v>112</v>
      </c>
      <c r="C58" s="77" t="s">
        <v>46</v>
      </c>
      <c r="D58" s="78" t="n">
        <v>0</v>
      </c>
      <c r="E58" s="79" t="n">
        <v>700</v>
      </c>
      <c r="F58" s="63" t="n">
        <v>0</v>
      </c>
      <c r="G58" s="78" t="n">
        <v>0</v>
      </c>
      <c r="H58" s="78" t="n">
        <v>0</v>
      </c>
      <c r="I58" s="78" t="n">
        <v>500</v>
      </c>
      <c r="J58" s="78" t="n">
        <v>0</v>
      </c>
      <c r="K58" s="78" t="n">
        <v>200</v>
      </c>
      <c r="L58" s="78" t="n">
        <v>0</v>
      </c>
      <c r="M58" s="78" t="n">
        <v>0</v>
      </c>
      <c r="N58" s="78" t="n">
        <v>0</v>
      </c>
      <c r="O58" s="78" t="n">
        <v>0</v>
      </c>
      <c r="P58" s="80" t="n">
        <v>0</v>
      </c>
      <c r="Q58" s="72" t="n">
        <v>0</v>
      </c>
      <c r="R58" s="72" t="n">
        <v>0</v>
      </c>
      <c r="S58" s="72" t="n">
        <v>0</v>
      </c>
      <c r="T58" s="72" t="n">
        <v>0</v>
      </c>
      <c r="U58" s="72" t="n">
        <v>0</v>
      </c>
      <c r="V58" s="73" t="n">
        <v>350</v>
      </c>
      <c r="W58" s="72" t="n">
        <v>0</v>
      </c>
      <c r="X58" s="72" t="n">
        <v>0</v>
      </c>
      <c r="Y58" s="72" t="n">
        <v>0</v>
      </c>
      <c r="Z58" s="72" t="n">
        <v>0</v>
      </c>
      <c r="AA58" s="72" t="n">
        <v>0</v>
      </c>
      <c r="AB58" s="72" t="n">
        <v>0</v>
      </c>
      <c r="AC58" s="72" t="n">
        <v>0</v>
      </c>
      <c r="AD58" s="72" t="n">
        <v>0</v>
      </c>
      <c r="AE58" s="74" t="n">
        <v>350</v>
      </c>
      <c r="AF58" s="75" t="n">
        <v>0</v>
      </c>
      <c r="AG58" s="81" t="s">
        <v>111</v>
      </c>
      <c r="AH58" s="71"/>
    </row>
    <row r="59" customFormat="false" ht="15.75" hidden="false" customHeight="true" outlineLevel="0" collapsed="false">
      <c r="A59" s="76" t="n">
        <v>46035</v>
      </c>
      <c r="B59" s="76" t="s">
        <v>113</v>
      </c>
      <c r="C59" s="77" t="s">
        <v>46</v>
      </c>
      <c r="D59" s="78" t="n">
        <v>600</v>
      </c>
      <c r="E59" s="79" t="n">
        <v>0</v>
      </c>
      <c r="F59" s="63" t="n">
        <v>0</v>
      </c>
      <c r="G59" s="78" t="n">
        <v>0</v>
      </c>
      <c r="H59" s="78" t="n">
        <v>0</v>
      </c>
      <c r="I59" s="78" t="n">
        <v>0</v>
      </c>
      <c r="J59" s="78" t="n">
        <v>0</v>
      </c>
      <c r="K59" s="78" t="n">
        <v>0</v>
      </c>
      <c r="L59" s="78" t="n">
        <v>0</v>
      </c>
      <c r="M59" s="78" t="n">
        <v>0</v>
      </c>
      <c r="N59" s="78" t="n">
        <v>0</v>
      </c>
      <c r="O59" s="78" t="n">
        <v>0</v>
      </c>
      <c r="P59" s="80" t="n">
        <v>0</v>
      </c>
      <c r="Q59" s="72" t="n">
        <v>0</v>
      </c>
      <c r="R59" s="72" t="n">
        <v>0</v>
      </c>
      <c r="S59" s="72" t="n">
        <v>0</v>
      </c>
      <c r="T59" s="72" t="n">
        <v>0</v>
      </c>
      <c r="U59" s="73" t="n">
        <v>480</v>
      </c>
      <c r="V59" s="72" t="n">
        <v>0</v>
      </c>
      <c r="W59" s="72" t="n">
        <v>0</v>
      </c>
      <c r="X59" s="72" t="n">
        <v>0</v>
      </c>
      <c r="Y59" s="72" t="n">
        <v>0</v>
      </c>
      <c r="Z59" s="72" t="n">
        <v>0</v>
      </c>
      <c r="AA59" s="72" t="n">
        <v>0</v>
      </c>
      <c r="AB59" s="72" t="n">
        <v>0</v>
      </c>
      <c r="AC59" s="72" t="n">
        <v>0</v>
      </c>
      <c r="AD59" s="72" t="n">
        <v>0</v>
      </c>
      <c r="AE59" s="74" t="n">
        <v>0</v>
      </c>
      <c r="AF59" s="75" t="n">
        <v>0</v>
      </c>
      <c r="AG59" s="81"/>
      <c r="AH59" s="71" t="s">
        <v>114</v>
      </c>
    </row>
    <row r="60" customFormat="false" ht="15.75" hidden="false" customHeight="true" outlineLevel="0" collapsed="false">
      <c r="A60" s="76" t="n">
        <v>46035</v>
      </c>
      <c r="B60" s="76" t="s">
        <v>113</v>
      </c>
      <c r="C60" s="77" t="s">
        <v>46</v>
      </c>
      <c r="D60" s="78" t="n">
        <v>0</v>
      </c>
      <c r="E60" s="79" t="n">
        <v>10600</v>
      </c>
      <c r="F60" s="63" t="n">
        <v>600</v>
      </c>
      <c r="G60" s="78" t="n">
        <v>0</v>
      </c>
      <c r="H60" s="78" t="n">
        <v>0</v>
      </c>
      <c r="I60" s="78" t="n">
        <v>0</v>
      </c>
      <c r="J60" s="78" t="n">
        <v>6000</v>
      </c>
      <c r="K60" s="78" t="n">
        <v>4600</v>
      </c>
      <c r="L60" s="78" t="n">
        <v>0</v>
      </c>
      <c r="M60" s="78" t="n">
        <v>0</v>
      </c>
      <c r="N60" s="78" t="n">
        <v>0</v>
      </c>
      <c r="O60" s="78" t="n">
        <v>0</v>
      </c>
      <c r="P60" s="80" t="n">
        <v>0</v>
      </c>
      <c r="Q60" s="72" t="n">
        <v>0</v>
      </c>
      <c r="R60" s="73" t="n">
        <v>4500</v>
      </c>
      <c r="S60" s="72" t="n">
        <v>0</v>
      </c>
      <c r="T60" s="72" t="n">
        <v>0</v>
      </c>
      <c r="U60" s="72" t="n">
        <v>0</v>
      </c>
      <c r="V60" s="72" t="n">
        <v>0</v>
      </c>
      <c r="W60" s="72" t="n">
        <v>0</v>
      </c>
      <c r="X60" s="72" t="n">
        <v>0</v>
      </c>
      <c r="Y60" s="72" t="n">
        <v>0</v>
      </c>
      <c r="Z60" s="72" t="n">
        <v>0</v>
      </c>
      <c r="AA60" s="72" t="n">
        <v>0</v>
      </c>
      <c r="AB60" s="72" t="n">
        <v>0</v>
      </c>
      <c r="AC60" s="72" t="n">
        <v>0</v>
      </c>
      <c r="AD60" s="72" t="n">
        <v>0</v>
      </c>
      <c r="AE60" s="74" t="n">
        <v>0</v>
      </c>
      <c r="AF60" s="75" t="n">
        <v>0</v>
      </c>
      <c r="AG60" s="81"/>
      <c r="AH60" s="71" t="s">
        <v>114</v>
      </c>
    </row>
    <row r="61" customFormat="false" ht="15" hidden="false" customHeight="true" outlineLevel="0" collapsed="false">
      <c r="A61" s="76" t="n">
        <v>46035</v>
      </c>
      <c r="B61" s="76" t="s">
        <v>115</v>
      </c>
      <c r="C61" s="77"/>
      <c r="D61" s="78" t="n">
        <v>0</v>
      </c>
      <c r="E61" s="79" t="n">
        <v>6000</v>
      </c>
      <c r="F61" s="63" t="n">
        <v>0</v>
      </c>
      <c r="G61" s="78" t="n">
        <v>0</v>
      </c>
      <c r="H61" s="78" t="n">
        <v>0</v>
      </c>
      <c r="I61" s="78" t="n">
        <v>0</v>
      </c>
      <c r="J61" s="78" t="n">
        <v>6000</v>
      </c>
      <c r="K61" s="78" t="n">
        <v>0</v>
      </c>
      <c r="L61" s="78" t="n">
        <v>0</v>
      </c>
      <c r="M61" s="78" t="n">
        <v>0</v>
      </c>
      <c r="N61" s="78" t="n">
        <v>0</v>
      </c>
      <c r="O61" s="78" t="n">
        <v>0</v>
      </c>
      <c r="P61" s="80" t="n">
        <v>0</v>
      </c>
      <c r="Q61" s="72" t="n">
        <v>0</v>
      </c>
      <c r="R61" s="72" t="n">
        <v>0</v>
      </c>
      <c r="S61" s="73" t="n">
        <v>6000</v>
      </c>
      <c r="T61" s="72" t="n">
        <v>0</v>
      </c>
      <c r="U61" s="72" t="n">
        <v>0</v>
      </c>
      <c r="V61" s="72" t="n">
        <v>0</v>
      </c>
      <c r="W61" s="72" t="n">
        <v>0</v>
      </c>
      <c r="X61" s="72" t="n">
        <v>0</v>
      </c>
      <c r="Y61" s="72" t="n">
        <v>0</v>
      </c>
      <c r="Z61" s="72" t="n">
        <v>0</v>
      </c>
      <c r="AA61" s="72" t="n">
        <v>0</v>
      </c>
      <c r="AB61" s="72" t="n">
        <v>0</v>
      </c>
      <c r="AC61" s="72" t="n">
        <v>0</v>
      </c>
      <c r="AD61" s="72" t="n">
        <v>0</v>
      </c>
      <c r="AE61" s="74" t="n">
        <v>0</v>
      </c>
      <c r="AF61" s="75" t="n">
        <v>0</v>
      </c>
      <c r="AG61" s="81"/>
      <c r="AH61" s="71" t="s">
        <v>116</v>
      </c>
    </row>
    <row r="62" customFormat="false" ht="15" hidden="false" customHeight="true" outlineLevel="0" collapsed="false">
      <c r="A62" s="76" t="n">
        <v>46035</v>
      </c>
      <c r="B62" s="76" t="s">
        <v>64</v>
      </c>
      <c r="C62" s="77" t="s">
        <v>46</v>
      </c>
      <c r="D62" s="78" t="n">
        <v>600</v>
      </c>
      <c r="E62" s="79" t="n">
        <v>0</v>
      </c>
      <c r="F62" s="63" t="n">
        <v>0</v>
      </c>
      <c r="G62" s="78" t="n">
        <v>0</v>
      </c>
      <c r="H62" s="78" t="n">
        <v>0</v>
      </c>
      <c r="I62" s="78" t="n">
        <v>0</v>
      </c>
      <c r="J62" s="78" t="n">
        <v>0</v>
      </c>
      <c r="K62" s="78" t="n">
        <v>0</v>
      </c>
      <c r="L62" s="78" t="n">
        <v>0</v>
      </c>
      <c r="M62" s="78" t="n">
        <v>0</v>
      </c>
      <c r="N62" s="78" t="n">
        <v>0</v>
      </c>
      <c r="O62" s="78" t="n">
        <v>0</v>
      </c>
      <c r="P62" s="80" t="n">
        <v>0</v>
      </c>
      <c r="Q62" s="72" t="n">
        <v>0</v>
      </c>
      <c r="R62" s="72" t="n">
        <v>0</v>
      </c>
      <c r="S62" s="72" t="n">
        <v>0</v>
      </c>
      <c r="T62" s="72" t="n">
        <v>0</v>
      </c>
      <c r="U62" s="72" t="n">
        <v>0</v>
      </c>
      <c r="V62" s="73" t="n">
        <v>480</v>
      </c>
      <c r="W62" s="72" t="n">
        <v>0</v>
      </c>
      <c r="X62" s="72" t="n">
        <v>0</v>
      </c>
      <c r="Y62" s="72" t="n">
        <v>0</v>
      </c>
      <c r="Z62" s="72" t="n">
        <v>0</v>
      </c>
      <c r="AA62" s="72" t="n">
        <v>0</v>
      </c>
      <c r="AB62" s="72" t="n">
        <v>0</v>
      </c>
      <c r="AC62" s="72" t="n">
        <v>0</v>
      </c>
      <c r="AD62" s="72" t="n">
        <v>0</v>
      </c>
      <c r="AE62" s="74" t="n">
        <v>0</v>
      </c>
      <c r="AF62" s="75" t="n">
        <v>0</v>
      </c>
      <c r="AG62" s="81"/>
      <c r="AH62" s="71"/>
    </row>
    <row r="63" customFormat="false" ht="15" hidden="false" customHeight="true" outlineLevel="0" collapsed="false">
      <c r="A63" s="76" t="n">
        <v>46035</v>
      </c>
      <c r="B63" s="76" t="s">
        <v>64</v>
      </c>
      <c r="C63" s="77" t="s">
        <v>46</v>
      </c>
      <c r="D63" s="78" t="n">
        <v>0</v>
      </c>
      <c r="E63" s="79" t="n">
        <v>4000</v>
      </c>
      <c r="F63" s="63" t="n">
        <v>0</v>
      </c>
      <c r="G63" s="78" t="n">
        <v>0</v>
      </c>
      <c r="H63" s="78" t="n">
        <v>0</v>
      </c>
      <c r="I63" s="78" t="n">
        <v>4000</v>
      </c>
      <c r="J63" s="78" t="n">
        <v>0</v>
      </c>
      <c r="K63" s="78" t="n">
        <v>0</v>
      </c>
      <c r="L63" s="78" t="n">
        <v>0</v>
      </c>
      <c r="M63" s="78" t="n">
        <v>0</v>
      </c>
      <c r="N63" s="78" t="n">
        <v>0</v>
      </c>
      <c r="O63" s="78" t="n">
        <v>0</v>
      </c>
      <c r="P63" s="80" t="n">
        <v>0</v>
      </c>
      <c r="Q63" s="72" t="n">
        <v>0</v>
      </c>
      <c r="R63" s="72" t="n">
        <v>0</v>
      </c>
      <c r="S63" s="72" t="n">
        <v>0</v>
      </c>
      <c r="T63" s="72" t="n">
        <v>0</v>
      </c>
      <c r="U63" s="73" t="n">
        <v>2000</v>
      </c>
      <c r="V63" s="73" t="n">
        <v>2000</v>
      </c>
      <c r="W63" s="72" t="n">
        <v>0</v>
      </c>
      <c r="X63" s="72" t="n">
        <v>0</v>
      </c>
      <c r="Y63" s="72" t="n">
        <v>0</v>
      </c>
      <c r="Z63" s="72" t="n">
        <v>0</v>
      </c>
      <c r="AA63" s="72" t="n">
        <v>0</v>
      </c>
      <c r="AB63" s="72" t="n">
        <v>0</v>
      </c>
      <c r="AC63" s="72" t="n">
        <v>0</v>
      </c>
      <c r="AD63" s="72" t="n">
        <v>0</v>
      </c>
      <c r="AE63" s="74" t="n">
        <v>0</v>
      </c>
      <c r="AF63" s="75" t="n">
        <v>0</v>
      </c>
      <c r="AG63" s="81"/>
      <c r="AH63" s="71" t="s">
        <v>117</v>
      </c>
    </row>
    <row r="64" customFormat="false" ht="15" hidden="false" customHeight="true" outlineLevel="0" collapsed="false">
      <c r="A64" s="76" t="n">
        <v>46035</v>
      </c>
      <c r="B64" s="76" t="s">
        <v>59</v>
      </c>
      <c r="C64" s="77" t="s">
        <v>46</v>
      </c>
      <c r="D64" s="78" t="n">
        <v>500</v>
      </c>
      <c r="E64" s="79" t="n">
        <v>0</v>
      </c>
      <c r="F64" s="63" t="n">
        <v>0</v>
      </c>
      <c r="G64" s="78" t="n">
        <v>0</v>
      </c>
      <c r="H64" s="78" t="n">
        <v>0</v>
      </c>
      <c r="I64" s="78" t="n">
        <v>0</v>
      </c>
      <c r="J64" s="78" t="n">
        <v>0</v>
      </c>
      <c r="K64" s="78" t="n">
        <v>0</v>
      </c>
      <c r="L64" s="78" t="n">
        <v>0</v>
      </c>
      <c r="M64" s="78" t="n">
        <v>0</v>
      </c>
      <c r="N64" s="78" t="n">
        <v>0</v>
      </c>
      <c r="O64" s="78" t="n">
        <v>0</v>
      </c>
      <c r="P64" s="80" t="n">
        <v>0</v>
      </c>
      <c r="Q64" s="72" t="n">
        <v>0</v>
      </c>
      <c r="R64" s="72" t="n">
        <v>0</v>
      </c>
      <c r="S64" s="72" t="n">
        <v>0</v>
      </c>
      <c r="T64" s="72" t="n">
        <v>0</v>
      </c>
      <c r="U64" s="72" t="n">
        <v>0</v>
      </c>
      <c r="V64" s="73" t="n">
        <v>380</v>
      </c>
      <c r="W64" s="72" t="n">
        <v>0</v>
      </c>
      <c r="X64" s="72" t="n">
        <v>0</v>
      </c>
      <c r="Y64" s="72" t="n">
        <v>0</v>
      </c>
      <c r="Z64" s="72" t="n">
        <v>0</v>
      </c>
      <c r="AA64" s="72" t="n">
        <v>0</v>
      </c>
      <c r="AB64" s="72" t="n">
        <v>0</v>
      </c>
      <c r="AC64" s="72" t="n">
        <v>0</v>
      </c>
      <c r="AD64" s="72" t="n">
        <v>0</v>
      </c>
      <c r="AE64" s="74" t="n">
        <v>0</v>
      </c>
      <c r="AF64" s="75" t="n">
        <v>0</v>
      </c>
      <c r="AG64" s="81"/>
      <c r="AH64" s="71"/>
    </row>
    <row r="65" customFormat="false" ht="15" hidden="false" customHeight="true" outlineLevel="0" collapsed="false">
      <c r="A65" s="76" t="n">
        <v>46035</v>
      </c>
      <c r="B65" s="76" t="s">
        <v>71</v>
      </c>
      <c r="C65" s="77" t="s">
        <v>46</v>
      </c>
      <c r="D65" s="78" t="n">
        <v>600</v>
      </c>
      <c r="E65" s="79" t="n">
        <v>0</v>
      </c>
      <c r="F65" s="63" t="n">
        <v>0</v>
      </c>
      <c r="G65" s="78" t="n">
        <v>0</v>
      </c>
      <c r="H65" s="78" t="n">
        <v>0</v>
      </c>
      <c r="I65" s="78" t="n">
        <v>0</v>
      </c>
      <c r="J65" s="78" t="n">
        <v>0</v>
      </c>
      <c r="K65" s="78" t="n">
        <v>0</v>
      </c>
      <c r="L65" s="78" t="n">
        <v>0</v>
      </c>
      <c r="M65" s="78" t="n">
        <v>0</v>
      </c>
      <c r="N65" s="78" t="n">
        <v>0</v>
      </c>
      <c r="O65" s="78" t="n">
        <v>0</v>
      </c>
      <c r="P65" s="80" t="n">
        <v>0</v>
      </c>
      <c r="Q65" s="72" t="n">
        <v>0</v>
      </c>
      <c r="R65" s="72" t="n">
        <v>0</v>
      </c>
      <c r="S65" s="72" t="n">
        <v>0</v>
      </c>
      <c r="T65" s="72" t="n">
        <v>0</v>
      </c>
      <c r="U65" s="72" t="n">
        <v>0</v>
      </c>
      <c r="V65" s="73" t="n">
        <v>480</v>
      </c>
      <c r="W65" s="72" t="n">
        <v>0</v>
      </c>
      <c r="X65" s="72" t="n">
        <v>0</v>
      </c>
      <c r="Y65" s="72" t="n">
        <v>0</v>
      </c>
      <c r="Z65" s="72" t="n">
        <v>0</v>
      </c>
      <c r="AA65" s="72" t="n">
        <v>0</v>
      </c>
      <c r="AB65" s="72" t="n">
        <v>0</v>
      </c>
      <c r="AC65" s="72" t="n">
        <v>0</v>
      </c>
      <c r="AD65" s="72" t="n">
        <v>0</v>
      </c>
      <c r="AE65" s="74" t="n">
        <v>0</v>
      </c>
      <c r="AF65" s="75" t="n">
        <v>0</v>
      </c>
      <c r="AG65" s="81"/>
      <c r="AH65" s="71"/>
    </row>
    <row r="66" customFormat="false" ht="15" hidden="false" customHeight="true" outlineLevel="0" collapsed="false">
      <c r="A66" s="76" t="n">
        <v>46035</v>
      </c>
      <c r="B66" s="76" t="s">
        <v>118</v>
      </c>
      <c r="C66" s="77" t="s">
        <v>46</v>
      </c>
      <c r="D66" s="78" t="n">
        <v>0</v>
      </c>
      <c r="E66" s="79" t="n">
        <v>1100</v>
      </c>
      <c r="F66" s="63" t="n">
        <v>0</v>
      </c>
      <c r="G66" s="78" t="n">
        <v>0</v>
      </c>
      <c r="H66" s="78" t="n">
        <v>0</v>
      </c>
      <c r="I66" s="78" t="n">
        <v>0</v>
      </c>
      <c r="J66" s="78" t="n">
        <v>0</v>
      </c>
      <c r="K66" s="78" t="n">
        <v>0</v>
      </c>
      <c r="L66" s="78" t="n">
        <v>1100</v>
      </c>
      <c r="M66" s="78" t="n">
        <v>0</v>
      </c>
      <c r="N66" s="78" t="n">
        <v>0</v>
      </c>
      <c r="O66" s="78" t="n">
        <v>0</v>
      </c>
      <c r="P66" s="80" t="n">
        <v>0</v>
      </c>
      <c r="Q66" s="72" t="n">
        <v>0</v>
      </c>
      <c r="R66" s="72" t="n">
        <v>0</v>
      </c>
      <c r="S66" s="72" t="n">
        <v>0</v>
      </c>
      <c r="T66" s="72" t="n">
        <v>0</v>
      </c>
      <c r="U66" s="72" t="n">
        <v>0</v>
      </c>
      <c r="V66" s="73" t="n">
        <v>1100</v>
      </c>
      <c r="W66" s="72" t="n">
        <v>0</v>
      </c>
      <c r="X66" s="72" t="n">
        <v>0</v>
      </c>
      <c r="Y66" s="72" t="n">
        <v>0</v>
      </c>
      <c r="Z66" s="72" t="n">
        <v>0</v>
      </c>
      <c r="AA66" s="72" t="n">
        <v>0</v>
      </c>
      <c r="AB66" s="72" t="n">
        <v>0</v>
      </c>
      <c r="AC66" s="72" t="n">
        <v>0</v>
      </c>
      <c r="AD66" s="72" t="n">
        <v>0</v>
      </c>
      <c r="AE66" s="74" t="n">
        <v>0</v>
      </c>
      <c r="AF66" s="75" t="n">
        <v>0</v>
      </c>
      <c r="AG66" s="81"/>
      <c r="AH66" s="71"/>
    </row>
    <row r="67" customFormat="false" ht="15" hidden="false" customHeight="true" outlineLevel="0" collapsed="false">
      <c r="A67" s="76" t="n">
        <v>46035</v>
      </c>
      <c r="B67" s="76" t="s">
        <v>119</v>
      </c>
      <c r="C67" s="77" t="s">
        <v>48</v>
      </c>
      <c r="D67" s="78" t="n">
        <v>0</v>
      </c>
      <c r="E67" s="79" t="n">
        <v>0</v>
      </c>
      <c r="F67" s="63" t="n">
        <v>0</v>
      </c>
      <c r="G67" s="78" t="n">
        <v>0</v>
      </c>
      <c r="H67" s="78" t="n">
        <v>0</v>
      </c>
      <c r="I67" s="78" t="n">
        <v>0</v>
      </c>
      <c r="J67" s="78" t="n">
        <v>0</v>
      </c>
      <c r="K67" s="78" t="n">
        <v>0</v>
      </c>
      <c r="L67" s="78" t="n">
        <v>0</v>
      </c>
      <c r="M67" s="78" t="n">
        <v>0</v>
      </c>
      <c r="N67" s="78" t="n">
        <v>0</v>
      </c>
      <c r="O67" s="78" t="n">
        <v>0</v>
      </c>
      <c r="P67" s="80" t="n">
        <v>0</v>
      </c>
      <c r="Q67" s="72" t="n">
        <v>0</v>
      </c>
      <c r="R67" s="72" t="n">
        <v>0</v>
      </c>
      <c r="S67" s="72" t="n">
        <v>0</v>
      </c>
      <c r="T67" s="72" t="n">
        <v>0</v>
      </c>
      <c r="U67" s="72" t="n">
        <v>0</v>
      </c>
      <c r="V67" s="73" t="n">
        <v>120</v>
      </c>
      <c r="W67" s="72" t="n">
        <v>0</v>
      </c>
      <c r="X67" s="72" t="n">
        <v>0</v>
      </c>
      <c r="Y67" s="72" t="n">
        <v>0</v>
      </c>
      <c r="Z67" s="72" t="n">
        <v>0</v>
      </c>
      <c r="AA67" s="72" t="n">
        <v>0</v>
      </c>
      <c r="AB67" s="72" t="n">
        <v>0</v>
      </c>
      <c r="AC67" s="72" t="n">
        <v>0</v>
      </c>
      <c r="AD67" s="72" t="n">
        <v>0</v>
      </c>
      <c r="AE67" s="74" t="n">
        <v>0</v>
      </c>
      <c r="AF67" s="75" t="n">
        <v>0</v>
      </c>
      <c r="AG67" s="81"/>
      <c r="AH67" s="71"/>
    </row>
    <row r="68" customFormat="false" ht="15" hidden="false" customHeight="true" outlineLevel="0" collapsed="false">
      <c r="A68" s="76" t="n">
        <v>46035</v>
      </c>
      <c r="B68" s="76" t="s">
        <v>120</v>
      </c>
      <c r="C68" s="77" t="s">
        <v>48</v>
      </c>
      <c r="D68" s="78" t="n">
        <v>0</v>
      </c>
      <c r="E68" s="79" t="n">
        <v>0</v>
      </c>
      <c r="F68" s="63" t="n">
        <v>0</v>
      </c>
      <c r="G68" s="78" t="n">
        <v>0</v>
      </c>
      <c r="H68" s="78" t="n">
        <v>0</v>
      </c>
      <c r="I68" s="78" t="n">
        <v>0</v>
      </c>
      <c r="J68" s="78" t="n">
        <v>0</v>
      </c>
      <c r="K68" s="78" t="n">
        <v>0</v>
      </c>
      <c r="L68" s="78" t="n">
        <v>0</v>
      </c>
      <c r="M68" s="78" t="n">
        <v>0</v>
      </c>
      <c r="N68" s="78" t="n">
        <v>0</v>
      </c>
      <c r="O68" s="78" t="n">
        <v>0</v>
      </c>
      <c r="P68" s="80" t="n">
        <v>0</v>
      </c>
      <c r="Q68" s="72" t="n">
        <v>0</v>
      </c>
      <c r="R68" s="72" t="n">
        <v>0</v>
      </c>
      <c r="S68" s="73" t="n">
        <v>120</v>
      </c>
      <c r="T68" s="72" t="n">
        <v>0</v>
      </c>
      <c r="U68" s="72" t="n">
        <v>0</v>
      </c>
      <c r="V68" s="72" t="n">
        <v>0</v>
      </c>
      <c r="W68" s="72" t="n">
        <v>0</v>
      </c>
      <c r="X68" s="72" t="n">
        <v>0</v>
      </c>
      <c r="Y68" s="72" t="n">
        <v>0</v>
      </c>
      <c r="Z68" s="72" t="n">
        <v>0</v>
      </c>
      <c r="AA68" s="72" t="n">
        <v>0</v>
      </c>
      <c r="AB68" s="72" t="n">
        <v>0</v>
      </c>
      <c r="AC68" s="72" t="n">
        <v>0</v>
      </c>
      <c r="AD68" s="72" t="n">
        <v>0</v>
      </c>
      <c r="AE68" s="74" t="n">
        <v>0</v>
      </c>
      <c r="AF68" s="75" t="n">
        <v>0</v>
      </c>
      <c r="AG68" s="81"/>
      <c r="AH68" s="0" t="n">
        <v>4626</v>
      </c>
    </row>
    <row r="69" customFormat="false" ht="15" hidden="false" customHeight="true" outlineLevel="0" collapsed="false">
      <c r="A69" s="76" t="n">
        <v>46035</v>
      </c>
      <c r="B69" s="76" t="s">
        <v>120</v>
      </c>
      <c r="C69" s="77" t="s">
        <v>48</v>
      </c>
      <c r="D69" s="78" t="n">
        <v>0</v>
      </c>
      <c r="E69" s="79" t="n">
        <v>0</v>
      </c>
      <c r="F69" s="63" t="n">
        <v>0</v>
      </c>
      <c r="G69" s="78" t="n">
        <v>0</v>
      </c>
      <c r="H69" s="78" t="n">
        <v>0</v>
      </c>
      <c r="I69" s="78" t="n">
        <v>0</v>
      </c>
      <c r="J69" s="78" t="n">
        <v>0</v>
      </c>
      <c r="K69" s="78" t="n">
        <v>0</v>
      </c>
      <c r="L69" s="78" t="n">
        <v>0</v>
      </c>
      <c r="M69" s="78" t="n">
        <v>0</v>
      </c>
      <c r="N69" s="78" t="n">
        <v>0</v>
      </c>
      <c r="O69" s="78" t="n">
        <v>0</v>
      </c>
      <c r="P69" s="80" t="n">
        <v>0</v>
      </c>
      <c r="Q69" s="72" t="n">
        <v>0</v>
      </c>
      <c r="R69" s="72" t="n">
        <v>0</v>
      </c>
      <c r="S69" s="73" t="n">
        <v>120</v>
      </c>
      <c r="T69" s="72" t="n">
        <v>0</v>
      </c>
      <c r="U69" s="72" t="n">
        <v>0</v>
      </c>
      <c r="V69" s="72" t="n">
        <v>0</v>
      </c>
      <c r="W69" s="72" t="n">
        <v>0</v>
      </c>
      <c r="X69" s="72" t="n">
        <v>0</v>
      </c>
      <c r="Y69" s="72" t="n">
        <v>0</v>
      </c>
      <c r="Z69" s="72" t="n">
        <v>0</v>
      </c>
      <c r="AA69" s="72" t="n">
        <v>0</v>
      </c>
      <c r="AB69" s="72" t="n">
        <v>0</v>
      </c>
      <c r="AC69" s="72" t="n">
        <v>0</v>
      </c>
      <c r="AD69" s="72" t="n">
        <v>0</v>
      </c>
      <c r="AE69" s="74" t="n">
        <v>0</v>
      </c>
      <c r="AF69" s="75" t="n">
        <v>0</v>
      </c>
      <c r="AG69" s="81"/>
      <c r="AH69" s="0" t="n">
        <v>2345</v>
      </c>
    </row>
    <row r="70" customFormat="false" ht="15" hidden="false" customHeight="true" outlineLevel="0" collapsed="false">
      <c r="A70" s="76" t="n">
        <v>46036</v>
      </c>
      <c r="B70" s="76" t="s">
        <v>121</v>
      </c>
      <c r="C70" s="77" t="s">
        <v>48</v>
      </c>
      <c r="D70" s="78" t="n">
        <v>0</v>
      </c>
      <c r="E70" s="79" t="n">
        <v>0</v>
      </c>
      <c r="F70" s="63" t="n">
        <v>0</v>
      </c>
      <c r="G70" s="78" t="n">
        <v>0</v>
      </c>
      <c r="H70" s="78" t="n">
        <v>0</v>
      </c>
      <c r="I70" s="78" t="n">
        <v>0</v>
      </c>
      <c r="J70" s="78" t="n">
        <v>0</v>
      </c>
      <c r="K70" s="78" t="n">
        <v>0</v>
      </c>
      <c r="L70" s="78" t="n">
        <v>0</v>
      </c>
      <c r="M70" s="78" t="n">
        <v>0</v>
      </c>
      <c r="N70" s="78" t="n">
        <v>0</v>
      </c>
      <c r="O70" s="78" t="n">
        <v>0</v>
      </c>
      <c r="P70" s="80" t="n">
        <v>0</v>
      </c>
      <c r="Q70" s="72" t="n">
        <v>0</v>
      </c>
      <c r="R70" s="72" t="n">
        <v>0</v>
      </c>
      <c r="S70" s="72" t="n">
        <v>0</v>
      </c>
      <c r="T70" s="73" t="n">
        <v>2390</v>
      </c>
      <c r="U70" s="72" t="n">
        <v>0</v>
      </c>
      <c r="V70" s="72" t="n">
        <v>0</v>
      </c>
      <c r="W70" s="72" t="n">
        <v>0</v>
      </c>
      <c r="X70" s="72" t="n">
        <v>0</v>
      </c>
      <c r="Y70" s="72" t="n">
        <v>0</v>
      </c>
      <c r="Z70" s="72" t="n">
        <v>0</v>
      </c>
      <c r="AA70" s="72" t="n">
        <v>0</v>
      </c>
      <c r="AB70" s="72" t="n">
        <v>0</v>
      </c>
      <c r="AC70" s="72" t="n">
        <v>0</v>
      </c>
      <c r="AD70" s="72" t="n">
        <v>0</v>
      </c>
      <c r="AE70" s="74" t="n">
        <v>0</v>
      </c>
      <c r="AF70" s="75" t="n">
        <v>0</v>
      </c>
      <c r="AG70" s="81"/>
      <c r="AH70" s="71"/>
    </row>
    <row r="71" customFormat="false" ht="15" hidden="false" customHeight="true" outlineLevel="0" collapsed="false">
      <c r="A71" s="76" t="n">
        <v>46036</v>
      </c>
      <c r="B71" s="76" t="s">
        <v>65</v>
      </c>
      <c r="C71" s="77" t="s">
        <v>46</v>
      </c>
      <c r="D71" s="78" t="n">
        <v>600</v>
      </c>
      <c r="E71" s="79" t="n">
        <v>0</v>
      </c>
      <c r="F71" s="63" t="n">
        <v>0</v>
      </c>
      <c r="G71" s="78" t="n">
        <v>0</v>
      </c>
      <c r="H71" s="78" t="n">
        <v>0</v>
      </c>
      <c r="I71" s="78" t="n">
        <v>0</v>
      </c>
      <c r="J71" s="78" t="n">
        <v>0</v>
      </c>
      <c r="K71" s="78" t="n">
        <v>0</v>
      </c>
      <c r="L71" s="78" t="n">
        <v>0</v>
      </c>
      <c r="M71" s="78" t="n">
        <v>0</v>
      </c>
      <c r="N71" s="78" t="n">
        <v>0</v>
      </c>
      <c r="O71" s="78" t="n">
        <v>0</v>
      </c>
      <c r="P71" s="80" t="n">
        <v>0</v>
      </c>
      <c r="Q71" s="72" t="n">
        <v>0</v>
      </c>
      <c r="R71" s="72" t="n">
        <v>0</v>
      </c>
      <c r="S71" s="72" t="n">
        <v>0</v>
      </c>
      <c r="T71" s="72" t="n">
        <v>0</v>
      </c>
      <c r="U71" s="73" t="n">
        <v>600</v>
      </c>
      <c r="V71" s="72" t="n">
        <v>0</v>
      </c>
      <c r="W71" s="72" t="n">
        <v>0</v>
      </c>
      <c r="X71" s="72" t="n">
        <v>0</v>
      </c>
      <c r="Y71" s="72" t="n">
        <v>0</v>
      </c>
      <c r="Z71" s="72" t="n">
        <v>0</v>
      </c>
      <c r="AA71" s="72" t="n">
        <v>0</v>
      </c>
      <c r="AB71" s="72" t="n">
        <v>0</v>
      </c>
      <c r="AC71" s="72" t="n">
        <v>0</v>
      </c>
      <c r="AD71" s="72" t="n">
        <v>0</v>
      </c>
      <c r="AE71" s="74" t="n">
        <v>0</v>
      </c>
      <c r="AF71" s="75" t="n">
        <v>0</v>
      </c>
      <c r="AG71" s="81"/>
      <c r="AH71" s="71"/>
    </row>
    <row r="72" customFormat="false" ht="15" hidden="false" customHeight="true" outlineLevel="0" collapsed="false">
      <c r="A72" s="76" t="n">
        <v>46036</v>
      </c>
      <c r="B72" s="76" t="s">
        <v>65</v>
      </c>
      <c r="C72" s="77" t="s">
        <v>46</v>
      </c>
      <c r="D72" s="78" t="n">
        <v>0</v>
      </c>
      <c r="E72" s="79" t="n">
        <v>10090</v>
      </c>
      <c r="F72" s="63" t="n">
        <v>600</v>
      </c>
      <c r="G72" s="78" t="n">
        <v>0</v>
      </c>
      <c r="H72" s="78" t="n">
        <v>0</v>
      </c>
      <c r="I72" s="78" t="n">
        <v>0</v>
      </c>
      <c r="J72" s="78" t="n">
        <v>6000</v>
      </c>
      <c r="K72" s="78" t="n">
        <v>4090</v>
      </c>
      <c r="L72" s="78" t="n">
        <v>0</v>
      </c>
      <c r="M72" s="78" t="n">
        <v>0</v>
      </c>
      <c r="N72" s="78" t="n">
        <v>0</v>
      </c>
      <c r="O72" s="78" t="n">
        <v>0</v>
      </c>
      <c r="P72" s="80" t="n">
        <v>0</v>
      </c>
      <c r="Q72" s="72" t="n">
        <v>0</v>
      </c>
      <c r="R72" s="73" t="n">
        <v>1000</v>
      </c>
      <c r="S72" s="72" t="n">
        <v>0</v>
      </c>
      <c r="T72" s="72" t="n">
        <v>0</v>
      </c>
      <c r="U72" s="72" t="n">
        <v>0</v>
      </c>
      <c r="V72" s="72" t="n">
        <v>0</v>
      </c>
      <c r="W72" s="72" t="n">
        <v>0</v>
      </c>
      <c r="X72" s="72" t="n">
        <v>0</v>
      </c>
      <c r="Y72" s="72" t="n">
        <v>0</v>
      </c>
      <c r="Z72" s="72" t="n">
        <v>0</v>
      </c>
      <c r="AA72" s="72" t="n">
        <v>0</v>
      </c>
      <c r="AB72" s="72" t="n">
        <v>0</v>
      </c>
      <c r="AC72" s="72" t="n">
        <v>0</v>
      </c>
      <c r="AD72" s="72" t="n">
        <v>0</v>
      </c>
      <c r="AE72" s="74" t="n">
        <v>0</v>
      </c>
      <c r="AF72" s="75" t="n">
        <v>0</v>
      </c>
      <c r="AG72" s="81"/>
      <c r="AH72" s="71" t="s">
        <v>66</v>
      </c>
    </row>
    <row r="73" customFormat="false" ht="15" hidden="false" customHeight="true" outlineLevel="0" collapsed="false">
      <c r="A73" s="76" t="n">
        <v>46036</v>
      </c>
      <c r="B73" s="76" t="s">
        <v>122</v>
      </c>
      <c r="C73" s="77" t="s">
        <v>46</v>
      </c>
      <c r="D73" s="78" t="n">
        <v>0</v>
      </c>
      <c r="E73" s="79" t="n">
        <v>500</v>
      </c>
      <c r="F73" s="63" t="n">
        <v>0</v>
      </c>
      <c r="G73" s="78" t="n">
        <v>0</v>
      </c>
      <c r="H73" s="78" t="n">
        <v>0</v>
      </c>
      <c r="I73" s="78" t="n">
        <v>0</v>
      </c>
      <c r="J73" s="78" t="n">
        <v>0</v>
      </c>
      <c r="K73" s="78" t="n">
        <v>0</v>
      </c>
      <c r="L73" s="78" t="n">
        <v>0</v>
      </c>
      <c r="M73" s="78" t="n">
        <v>0</v>
      </c>
      <c r="N73" s="78" t="n">
        <v>500</v>
      </c>
      <c r="O73" s="78" t="n">
        <v>0</v>
      </c>
      <c r="P73" s="80" t="n">
        <v>0</v>
      </c>
      <c r="Q73" s="72" t="n">
        <v>0</v>
      </c>
      <c r="R73" s="72" t="n">
        <v>0</v>
      </c>
      <c r="S73" s="72" t="n">
        <v>0</v>
      </c>
      <c r="T73" s="72" t="n">
        <v>0</v>
      </c>
      <c r="U73" s="73" t="n">
        <v>500</v>
      </c>
      <c r="V73" s="72" t="n">
        <v>0</v>
      </c>
      <c r="W73" s="72" t="n">
        <v>0</v>
      </c>
      <c r="X73" s="72" t="n">
        <v>0</v>
      </c>
      <c r="Y73" s="72" t="n">
        <v>0</v>
      </c>
      <c r="Z73" s="72" t="n">
        <v>0</v>
      </c>
      <c r="AA73" s="72" t="n">
        <v>0</v>
      </c>
      <c r="AB73" s="72" t="n">
        <v>0</v>
      </c>
      <c r="AC73" s="72" t="n">
        <v>0</v>
      </c>
      <c r="AD73" s="72" t="n">
        <v>0</v>
      </c>
      <c r="AE73" s="74" t="n">
        <v>0</v>
      </c>
      <c r="AF73" s="75" t="n">
        <v>0</v>
      </c>
      <c r="AG73" s="81"/>
      <c r="AH73" s="71" t="s">
        <v>123</v>
      </c>
    </row>
    <row r="74" customFormat="false" ht="15" hidden="false" customHeight="true" outlineLevel="0" collapsed="false">
      <c r="A74" s="76" t="n">
        <v>46036</v>
      </c>
      <c r="B74" s="76" t="s">
        <v>124</v>
      </c>
      <c r="C74" s="77" t="s">
        <v>53</v>
      </c>
      <c r="D74" s="78" t="n">
        <v>0</v>
      </c>
      <c r="E74" s="79" t="n">
        <v>0</v>
      </c>
      <c r="F74" s="63" t="n">
        <v>0</v>
      </c>
      <c r="G74" s="78" t="n">
        <v>0</v>
      </c>
      <c r="H74" s="78" t="n">
        <v>0</v>
      </c>
      <c r="I74" s="78" t="n">
        <v>0</v>
      </c>
      <c r="J74" s="78" t="n">
        <v>0</v>
      </c>
      <c r="K74" s="78" t="n">
        <v>0</v>
      </c>
      <c r="L74" s="78" t="n">
        <v>0</v>
      </c>
      <c r="M74" s="78" t="n">
        <v>0</v>
      </c>
      <c r="N74" s="78" t="n">
        <v>0</v>
      </c>
      <c r="O74" s="78" t="n">
        <v>0</v>
      </c>
      <c r="P74" s="80" t="n">
        <v>0</v>
      </c>
      <c r="Q74" s="72" t="n">
        <v>0</v>
      </c>
      <c r="R74" s="73" t="n">
        <v>7190.23</v>
      </c>
      <c r="S74" s="72" t="n">
        <v>0</v>
      </c>
      <c r="T74" s="72" t="n">
        <v>0</v>
      </c>
      <c r="U74" s="72" t="n">
        <v>0</v>
      </c>
      <c r="V74" s="72" t="n">
        <v>0</v>
      </c>
      <c r="W74" s="72" t="n">
        <v>0</v>
      </c>
      <c r="X74" s="72" t="n">
        <v>0</v>
      </c>
      <c r="Y74" s="72" t="n">
        <v>0</v>
      </c>
      <c r="Z74" s="72" t="n">
        <v>790.23</v>
      </c>
      <c r="AA74" s="72" t="n">
        <v>0</v>
      </c>
      <c r="AB74" s="72" t="n">
        <v>0</v>
      </c>
      <c r="AC74" s="72" t="n">
        <v>0</v>
      </c>
      <c r="AD74" s="72" t="n">
        <v>0</v>
      </c>
      <c r="AE74" s="74" t="n">
        <v>0</v>
      </c>
      <c r="AF74" s="75" t="n">
        <v>0</v>
      </c>
      <c r="AG74" s="81"/>
      <c r="AH74" s="71" t="s">
        <v>125</v>
      </c>
    </row>
    <row r="75" customFormat="false" ht="15" hidden="false" customHeight="true" outlineLevel="0" collapsed="false">
      <c r="A75" s="76" t="n">
        <v>46036</v>
      </c>
      <c r="B75" s="76" t="s">
        <v>126</v>
      </c>
      <c r="C75" s="77" t="s">
        <v>48</v>
      </c>
      <c r="D75" s="78" t="n">
        <v>0</v>
      </c>
      <c r="E75" s="79" t="n">
        <v>0</v>
      </c>
      <c r="F75" s="63" t="n">
        <v>0</v>
      </c>
      <c r="G75" s="78" t="n">
        <v>0</v>
      </c>
      <c r="H75" s="78" t="n">
        <v>0</v>
      </c>
      <c r="I75" s="78" t="n">
        <v>0</v>
      </c>
      <c r="J75" s="78" t="n">
        <v>0</v>
      </c>
      <c r="K75" s="78" t="n">
        <v>0</v>
      </c>
      <c r="L75" s="78" t="n">
        <v>0</v>
      </c>
      <c r="M75" s="78" t="n">
        <v>0</v>
      </c>
      <c r="N75" s="78" t="n">
        <v>0</v>
      </c>
      <c r="O75" s="78" t="n">
        <v>0</v>
      </c>
      <c r="P75" s="80" t="n">
        <v>0</v>
      </c>
      <c r="Q75" s="72" t="n">
        <v>0</v>
      </c>
      <c r="R75" s="72" t="n">
        <v>0</v>
      </c>
      <c r="S75" s="72" t="n">
        <v>0</v>
      </c>
      <c r="T75" s="72" t="n">
        <v>0</v>
      </c>
      <c r="U75" s="72" t="n">
        <v>0</v>
      </c>
      <c r="V75" s="73" t="n">
        <v>50</v>
      </c>
      <c r="W75" s="72" t="n">
        <v>0</v>
      </c>
      <c r="X75" s="72" t="n">
        <v>0</v>
      </c>
      <c r="Y75" s="72" t="n">
        <v>0</v>
      </c>
      <c r="Z75" s="72" t="n">
        <v>0</v>
      </c>
      <c r="AA75" s="72" t="n">
        <v>0</v>
      </c>
      <c r="AB75" s="72" t="n">
        <v>0</v>
      </c>
      <c r="AC75" s="72" t="n">
        <v>0</v>
      </c>
      <c r="AD75" s="72" t="n">
        <v>0</v>
      </c>
      <c r="AE75" s="74" t="n">
        <v>0</v>
      </c>
      <c r="AF75" s="75" t="n">
        <v>0</v>
      </c>
      <c r="AG75" s="81" t="s">
        <v>127</v>
      </c>
      <c r="AH75" s="71"/>
    </row>
    <row r="76" customFormat="false" ht="15" hidden="false" customHeight="true" outlineLevel="0" collapsed="false">
      <c r="A76" s="76" t="n">
        <v>46036</v>
      </c>
      <c r="B76" s="76" t="s">
        <v>128</v>
      </c>
      <c r="C76" s="77" t="s">
        <v>46</v>
      </c>
      <c r="D76" s="78" t="n">
        <v>0</v>
      </c>
      <c r="E76" s="79" t="n">
        <v>5000</v>
      </c>
      <c r="F76" s="63" t="n">
        <v>0</v>
      </c>
      <c r="G76" s="78" t="n">
        <v>0</v>
      </c>
      <c r="H76" s="78" t="n">
        <v>0</v>
      </c>
      <c r="I76" s="78" t="n">
        <v>2000</v>
      </c>
      <c r="J76" s="78" t="n">
        <v>0</v>
      </c>
      <c r="K76" s="78" t="n">
        <v>3000</v>
      </c>
      <c r="L76" s="78" t="n">
        <v>0</v>
      </c>
      <c r="M76" s="78" t="n">
        <v>0</v>
      </c>
      <c r="N76" s="78" t="n">
        <v>0</v>
      </c>
      <c r="O76" s="78" t="n">
        <v>0</v>
      </c>
      <c r="P76" s="80" t="n">
        <v>0</v>
      </c>
      <c r="Q76" s="72" t="n">
        <v>0</v>
      </c>
      <c r="R76" s="73" t="n">
        <v>5000</v>
      </c>
      <c r="S76" s="72" t="n">
        <v>0</v>
      </c>
      <c r="T76" s="72" t="n">
        <v>0</v>
      </c>
      <c r="U76" s="72" t="n">
        <v>0</v>
      </c>
      <c r="V76" s="72" t="n">
        <v>0</v>
      </c>
      <c r="W76" s="72" t="n">
        <v>0</v>
      </c>
      <c r="X76" s="72" t="n">
        <v>0</v>
      </c>
      <c r="Y76" s="72" t="n">
        <v>0</v>
      </c>
      <c r="Z76" s="72" t="n">
        <v>0</v>
      </c>
      <c r="AA76" s="72" t="n">
        <v>0</v>
      </c>
      <c r="AB76" s="72" t="n">
        <v>0</v>
      </c>
      <c r="AC76" s="72" t="n">
        <v>0</v>
      </c>
      <c r="AD76" s="72" t="n">
        <v>0</v>
      </c>
      <c r="AE76" s="74" t="n">
        <v>0</v>
      </c>
      <c r="AF76" s="75" t="n">
        <v>0</v>
      </c>
      <c r="AG76" s="81"/>
      <c r="AH76" s="71" t="s">
        <v>129</v>
      </c>
    </row>
    <row r="77" customFormat="false" ht="15" hidden="false" customHeight="true" outlineLevel="0" collapsed="false">
      <c r="A77" s="76" t="n">
        <v>46036</v>
      </c>
      <c r="B77" s="76" t="s">
        <v>73</v>
      </c>
      <c r="C77" s="77" t="s">
        <v>46</v>
      </c>
      <c r="D77" s="78" t="n">
        <v>600</v>
      </c>
      <c r="E77" s="79" t="n">
        <v>0</v>
      </c>
      <c r="F77" s="63" t="n">
        <v>0</v>
      </c>
      <c r="G77" s="78" t="n">
        <v>0</v>
      </c>
      <c r="H77" s="78" t="n">
        <v>0</v>
      </c>
      <c r="I77" s="78" t="n">
        <v>0</v>
      </c>
      <c r="J77" s="78" t="n">
        <v>0</v>
      </c>
      <c r="K77" s="78" t="n">
        <v>0</v>
      </c>
      <c r="L77" s="78" t="n">
        <v>0</v>
      </c>
      <c r="M77" s="78" t="n">
        <v>0</v>
      </c>
      <c r="N77" s="78" t="n">
        <v>0</v>
      </c>
      <c r="O77" s="78" t="n">
        <v>0</v>
      </c>
      <c r="P77" s="80" t="n">
        <v>0</v>
      </c>
      <c r="Q77" s="72" t="n">
        <v>0</v>
      </c>
      <c r="R77" s="72" t="n">
        <v>0</v>
      </c>
      <c r="S77" s="72" t="n">
        <v>0</v>
      </c>
      <c r="T77" s="72" t="n">
        <v>0</v>
      </c>
      <c r="U77" s="73" t="n">
        <v>480</v>
      </c>
      <c r="V77" s="72" t="n">
        <v>0</v>
      </c>
      <c r="W77" s="72" t="n">
        <v>0</v>
      </c>
      <c r="X77" s="72" t="n">
        <v>0</v>
      </c>
      <c r="Y77" s="72" t="n">
        <v>0</v>
      </c>
      <c r="Z77" s="72" t="n">
        <v>0</v>
      </c>
      <c r="AA77" s="72" t="n">
        <v>0</v>
      </c>
      <c r="AB77" s="72" t="n">
        <v>0</v>
      </c>
      <c r="AC77" s="72" t="n">
        <v>0</v>
      </c>
      <c r="AD77" s="72" t="n">
        <v>0</v>
      </c>
      <c r="AE77" s="74" t="n">
        <v>0</v>
      </c>
      <c r="AF77" s="75" t="n">
        <v>0</v>
      </c>
      <c r="AG77" s="81"/>
      <c r="AH77" s="71" t="s">
        <v>130</v>
      </c>
    </row>
    <row r="78" customFormat="false" ht="15" hidden="false" customHeight="true" outlineLevel="0" collapsed="false">
      <c r="A78" s="76" t="n">
        <v>46036</v>
      </c>
      <c r="B78" s="76" t="s">
        <v>73</v>
      </c>
      <c r="C78" s="77" t="s">
        <v>48</v>
      </c>
      <c r="D78" s="78" t="n">
        <v>0</v>
      </c>
      <c r="E78" s="79" t="n">
        <v>0</v>
      </c>
      <c r="F78" s="63" t="n">
        <v>0</v>
      </c>
      <c r="G78" s="78" t="n">
        <v>0</v>
      </c>
      <c r="H78" s="78" t="n">
        <v>0</v>
      </c>
      <c r="I78" s="78" t="n">
        <v>0</v>
      </c>
      <c r="J78" s="78" t="n">
        <v>0</v>
      </c>
      <c r="K78" s="78" t="n">
        <v>0</v>
      </c>
      <c r="L78" s="78" t="n">
        <v>0</v>
      </c>
      <c r="M78" s="78" t="n">
        <v>0</v>
      </c>
      <c r="N78" s="78" t="n">
        <v>0</v>
      </c>
      <c r="O78" s="78" t="n">
        <v>0</v>
      </c>
      <c r="P78" s="80" t="n">
        <v>0</v>
      </c>
      <c r="Q78" s="73" t="n">
        <v>100</v>
      </c>
      <c r="R78" s="72" t="n">
        <v>0</v>
      </c>
      <c r="S78" s="72" t="n">
        <v>0</v>
      </c>
      <c r="T78" s="72" t="n">
        <v>0</v>
      </c>
      <c r="U78" s="72" t="n">
        <v>0</v>
      </c>
      <c r="V78" s="72" t="n">
        <v>0</v>
      </c>
      <c r="W78" s="72" t="n">
        <v>0</v>
      </c>
      <c r="X78" s="72" t="n">
        <v>0</v>
      </c>
      <c r="Y78" s="72" t="n">
        <v>0</v>
      </c>
      <c r="Z78" s="72" t="n">
        <v>0</v>
      </c>
      <c r="AA78" s="72" t="n">
        <v>0</v>
      </c>
      <c r="AB78" s="72" t="n">
        <v>0</v>
      </c>
      <c r="AC78" s="72" t="n">
        <v>0</v>
      </c>
      <c r="AD78" s="72" t="n">
        <v>0</v>
      </c>
      <c r="AE78" s="74" t="n">
        <v>0</v>
      </c>
      <c r="AF78" s="75" t="n">
        <v>0</v>
      </c>
      <c r="AG78" s="81"/>
      <c r="AH78" s="71"/>
    </row>
    <row r="79" customFormat="false" ht="15" hidden="false" customHeight="true" outlineLevel="0" collapsed="false">
      <c r="A79" s="76" t="n">
        <v>46036</v>
      </c>
      <c r="B79" s="76" t="s">
        <v>131</v>
      </c>
      <c r="C79" s="77" t="s">
        <v>46</v>
      </c>
      <c r="D79" s="78" t="n">
        <v>0</v>
      </c>
      <c r="E79" s="79" t="n">
        <v>6948</v>
      </c>
      <c r="F79" s="63" t="n">
        <v>0</v>
      </c>
      <c r="G79" s="78" t="n">
        <v>0</v>
      </c>
      <c r="H79" s="78" t="n">
        <v>3948</v>
      </c>
      <c r="I79" s="78" t="n">
        <v>0</v>
      </c>
      <c r="J79" s="78" t="n">
        <v>0</v>
      </c>
      <c r="K79" s="78" t="n">
        <v>3000</v>
      </c>
      <c r="L79" s="78" t="n">
        <v>0</v>
      </c>
      <c r="M79" s="78" t="n">
        <v>0</v>
      </c>
      <c r="N79" s="78" t="n">
        <v>0</v>
      </c>
      <c r="O79" s="78" t="n">
        <v>0</v>
      </c>
      <c r="P79" s="80" t="n">
        <v>0</v>
      </c>
      <c r="Q79" s="72" t="n">
        <v>0</v>
      </c>
      <c r="R79" s="73" t="n">
        <v>7364.88</v>
      </c>
      <c r="S79" s="72" t="n">
        <v>0</v>
      </c>
      <c r="T79" s="72" t="n">
        <v>0</v>
      </c>
      <c r="U79" s="72" t="n">
        <v>0</v>
      </c>
      <c r="V79" s="72" t="n">
        <v>0</v>
      </c>
      <c r="W79" s="72" t="n">
        <v>0</v>
      </c>
      <c r="X79" s="72" t="n">
        <v>0</v>
      </c>
      <c r="Y79" s="72" t="n">
        <v>0</v>
      </c>
      <c r="Z79" s="72" t="n">
        <v>416.88</v>
      </c>
      <c r="AA79" s="72" t="n">
        <v>0</v>
      </c>
      <c r="AB79" s="72" t="n">
        <v>0</v>
      </c>
      <c r="AC79" s="72" t="n">
        <v>0</v>
      </c>
      <c r="AD79" s="72" t="n">
        <v>0</v>
      </c>
      <c r="AE79" s="74" t="n">
        <v>0</v>
      </c>
      <c r="AF79" s="75" t="n">
        <v>0</v>
      </c>
      <c r="AG79" s="81"/>
      <c r="AH79" s="71" t="s">
        <v>132</v>
      </c>
    </row>
    <row r="80" customFormat="false" ht="15" hidden="false" customHeight="true" outlineLevel="0" collapsed="false">
      <c r="A80" s="76" t="n">
        <v>46036</v>
      </c>
      <c r="B80" s="76" t="s">
        <v>133</v>
      </c>
      <c r="C80" s="77" t="s">
        <v>53</v>
      </c>
      <c r="D80" s="78" t="n">
        <v>0</v>
      </c>
      <c r="E80" s="79" t="n">
        <v>0</v>
      </c>
      <c r="F80" s="63" t="n">
        <v>0</v>
      </c>
      <c r="G80" s="78" t="n">
        <v>0</v>
      </c>
      <c r="H80" s="78" t="n">
        <v>0</v>
      </c>
      <c r="I80" s="78" t="n">
        <v>0</v>
      </c>
      <c r="J80" s="78" t="n">
        <v>0</v>
      </c>
      <c r="K80" s="78" t="n">
        <v>0</v>
      </c>
      <c r="L80" s="78" t="n">
        <v>0</v>
      </c>
      <c r="M80" s="78" t="n">
        <v>0</v>
      </c>
      <c r="N80" s="78" t="n">
        <v>0</v>
      </c>
      <c r="O80" s="78" t="n">
        <v>0</v>
      </c>
      <c r="P80" s="80" t="n">
        <v>0</v>
      </c>
      <c r="Q80" s="72" t="n">
        <v>0</v>
      </c>
      <c r="R80" s="72" t="n">
        <v>0</v>
      </c>
      <c r="S80" s="72" t="n">
        <v>0</v>
      </c>
      <c r="T80" s="72" t="n">
        <v>0</v>
      </c>
      <c r="U80" s="72" t="n">
        <v>0</v>
      </c>
      <c r="V80" s="73" t="n">
        <v>1190</v>
      </c>
      <c r="W80" s="72" t="n">
        <v>0</v>
      </c>
      <c r="X80" s="72" t="n">
        <v>0</v>
      </c>
      <c r="Y80" s="72" t="n">
        <v>0</v>
      </c>
      <c r="Z80" s="72" t="n">
        <v>0</v>
      </c>
      <c r="AA80" s="72" t="n">
        <v>0</v>
      </c>
      <c r="AB80" s="72" t="n">
        <v>0</v>
      </c>
      <c r="AC80" s="72" t="n">
        <v>0</v>
      </c>
      <c r="AD80" s="72" t="n">
        <v>0</v>
      </c>
      <c r="AE80" s="74" t="n">
        <v>0</v>
      </c>
      <c r="AF80" s="75" t="n">
        <v>0</v>
      </c>
      <c r="AG80" s="81"/>
      <c r="AH80" s="71"/>
    </row>
    <row r="81" customFormat="false" ht="15" hidden="false" customHeight="true" outlineLevel="0" collapsed="false">
      <c r="A81" s="76" t="n">
        <v>46037</v>
      </c>
      <c r="B81" s="76" t="s">
        <v>113</v>
      </c>
      <c r="C81" s="77" t="s">
        <v>48</v>
      </c>
      <c r="D81" s="78" t="n">
        <v>0</v>
      </c>
      <c r="E81" s="79" t="n">
        <v>0</v>
      </c>
      <c r="F81" s="63" t="n">
        <v>0</v>
      </c>
      <c r="G81" s="78" t="n">
        <v>0</v>
      </c>
      <c r="H81" s="78" t="n">
        <v>0</v>
      </c>
      <c r="I81" s="78" t="n">
        <v>0</v>
      </c>
      <c r="J81" s="78" t="n">
        <v>0</v>
      </c>
      <c r="K81" s="78" t="n">
        <v>0</v>
      </c>
      <c r="L81" s="78" t="n">
        <v>0</v>
      </c>
      <c r="M81" s="78" t="n">
        <v>0</v>
      </c>
      <c r="N81" s="78" t="n">
        <v>0</v>
      </c>
      <c r="O81" s="78" t="n">
        <v>0</v>
      </c>
      <c r="P81" s="80" t="n">
        <v>0</v>
      </c>
      <c r="Q81" s="72" t="n">
        <v>0</v>
      </c>
      <c r="R81" s="72" t="n">
        <v>0</v>
      </c>
      <c r="S81" s="72" t="n">
        <v>0</v>
      </c>
      <c r="T81" s="72" t="n">
        <v>0</v>
      </c>
      <c r="U81" s="72" t="n">
        <v>0</v>
      </c>
      <c r="V81" s="73" t="n">
        <v>6100</v>
      </c>
      <c r="W81" s="72" t="n">
        <v>0</v>
      </c>
      <c r="X81" s="72" t="n">
        <v>0</v>
      </c>
      <c r="Y81" s="72" t="n">
        <v>0</v>
      </c>
      <c r="Z81" s="72" t="n">
        <v>0</v>
      </c>
      <c r="AA81" s="72" t="n">
        <v>0</v>
      </c>
      <c r="AB81" s="72" t="n">
        <v>0</v>
      </c>
      <c r="AC81" s="72" t="n">
        <v>0</v>
      </c>
      <c r="AD81" s="72" t="n">
        <v>0</v>
      </c>
      <c r="AE81" s="74" t="n">
        <v>0</v>
      </c>
      <c r="AF81" s="75" t="n">
        <v>0</v>
      </c>
      <c r="AG81" s="81"/>
      <c r="AH81" s="71"/>
    </row>
    <row r="82" customFormat="false" ht="15" hidden="false" customHeight="true" outlineLevel="0" collapsed="false">
      <c r="A82" s="76" t="n">
        <v>46037</v>
      </c>
      <c r="B82" s="76" t="s">
        <v>134</v>
      </c>
      <c r="C82" s="77"/>
      <c r="D82" s="78" t="n">
        <v>0</v>
      </c>
      <c r="E82" s="79" t="n">
        <v>0</v>
      </c>
      <c r="F82" s="63" t="n">
        <v>0</v>
      </c>
      <c r="G82" s="78" t="n">
        <v>0</v>
      </c>
      <c r="H82" s="78" t="n">
        <v>0</v>
      </c>
      <c r="I82" s="78" t="n">
        <v>0</v>
      </c>
      <c r="J82" s="78" t="n">
        <v>0</v>
      </c>
      <c r="K82" s="78" t="n">
        <v>0</v>
      </c>
      <c r="L82" s="78" t="n">
        <v>0</v>
      </c>
      <c r="M82" s="78" t="n">
        <v>0</v>
      </c>
      <c r="N82" s="78" t="n">
        <v>0</v>
      </c>
      <c r="O82" s="78" t="n">
        <v>0</v>
      </c>
      <c r="P82" s="80" t="n">
        <v>0</v>
      </c>
      <c r="Q82" s="72" t="n">
        <v>0</v>
      </c>
      <c r="R82" s="72" t="n">
        <v>0</v>
      </c>
      <c r="S82" s="73" t="n">
        <v>1</v>
      </c>
      <c r="T82" s="72" t="n">
        <v>0</v>
      </c>
      <c r="U82" s="72" t="n">
        <v>0</v>
      </c>
      <c r="V82" s="72" t="n">
        <v>0</v>
      </c>
      <c r="W82" s="72" t="n">
        <v>0</v>
      </c>
      <c r="X82" s="72" t="n">
        <v>0</v>
      </c>
      <c r="Y82" s="72" t="n">
        <v>0</v>
      </c>
      <c r="Z82" s="72" t="n">
        <v>0</v>
      </c>
      <c r="AA82" s="72" t="n">
        <v>0</v>
      </c>
      <c r="AB82" s="72" t="n">
        <v>0</v>
      </c>
      <c r="AC82" s="72" t="n">
        <v>0</v>
      </c>
      <c r="AD82" s="72" t="n">
        <v>0</v>
      </c>
      <c r="AE82" s="74" t="n">
        <v>0</v>
      </c>
      <c r="AF82" s="75" t="n">
        <v>0</v>
      </c>
      <c r="AG82" s="81"/>
      <c r="AH82" s="71" t="s">
        <v>135</v>
      </c>
    </row>
    <row r="83" customFormat="false" ht="15" hidden="false" customHeight="true" outlineLevel="0" collapsed="false">
      <c r="A83" s="76" t="n">
        <v>46037</v>
      </c>
      <c r="B83" s="76" t="s">
        <v>65</v>
      </c>
      <c r="C83" s="77" t="s">
        <v>48</v>
      </c>
      <c r="D83" s="78" t="n">
        <v>0</v>
      </c>
      <c r="E83" s="79" t="n">
        <v>0</v>
      </c>
      <c r="F83" s="63" t="n">
        <v>0</v>
      </c>
      <c r="G83" s="78" t="n">
        <v>0</v>
      </c>
      <c r="H83" s="78" t="n">
        <v>0</v>
      </c>
      <c r="I83" s="78" t="n">
        <v>0</v>
      </c>
      <c r="J83" s="78" t="n">
        <v>0</v>
      </c>
      <c r="K83" s="78" t="n">
        <v>0</v>
      </c>
      <c r="L83" s="78" t="n">
        <v>0</v>
      </c>
      <c r="M83" s="78" t="n">
        <v>0</v>
      </c>
      <c r="N83" s="78" t="n">
        <v>0</v>
      </c>
      <c r="O83" s="78" t="n">
        <v>0</v>
      </c>
      <c r="P83" s="80" t="n">
        <v>0</v>
      </c>
      <c r="Q83" s="72" t="n">
        <v>0</v>
      </c>
      <c r="R83" s="72" t="n">
        <v>0</v>
      </c>
      <c r="S83" s="72" t="n">
        <v>0</v>
      </c>
      <c r="T83" s="72" t="n">
        <v>0</v>
      </c>
      <c r="U83" s="72" t="n">
        <v>0</v>
      </c>
      <c r="V83" s="73" t="n">
        <v>9090</v>
      </c>
      <c r="W83" s="72" t="n">
        <v>0</v>
      </c>
      <c r="X83" s="72" t="n">
        <v>0</v>
      </c>
      <c r="Y83" s="72" t="n">
        <v>0</v>
      </c>
      <c r="Z83" s="72" t="n">
        <v>0</v>
      </c>
      <c r="AA83" s="72" t="n">
        <v>0</v>
      </c>
      <c r="AB83" s="72" t="n">
        <v>0</v>
      </c>
      <c r="AC83" s="72" t="n">
        <v>0</v>
      </c>
      <c r="AD83" s="72" t="n">
        <v>0</v>
      </c>
      <c r="AE83" s="74" t="n">
        <v>0</v>
      </c>
      <c r="AF83" s="75" t="n">
        <v>0</v>
      </c>
      <c r="AG83" s="81"/>
      <c r="AH83" s="71"/>
    </row>
    <row r="84" customFormat="false" ht="15" hidden="false" customHeight="true" outlineLevel="0" collapsed="false">
      <c r="A84" s="76" t="n">
        <v>46037</v>
      </c>
      <c r="B84" s="76" t="s">
        <v>136</v>
      </c>
      <c r="C84" s="77" t="s">
        <v>46</v>
      </c>
      <c r="D84" s="78" t="n">
        <v>0</v>
      </c>
      <c r="E84" s="79" t="n">
        <v>11680</v>
      </c>
      <c r="F84" s="63" t="n">
        <v>120</v>
      </c>
      <c r="G84" s="78" t="n">
        <v>380</v>
      </c>
      <c r="H84" s="78" t="n">
        <v>0</v>
      </c>
      <c r="I84" s="78" t="n">
        <v>3200</v>
      </c>
      <c r="J84" s="78" t="n">
        <v>6000</v>
      </c>
      <c r="K84" s="78" t="n">
        <v>2100</v>
      </c>
      <c r="L84" s="78" t="n">
        <v>0</v>
      </c>
      <c r="M84" s="78" t="n">
        <v>0</v>
      </c>
      <c r="N84" s="78" t="n">
        <v>0</v>
      </c>
      <c r="O84" s="78" t="n">
        <v>0</v>
      </c>
      <c r="P84" s="80" t="n">
        <v>0</v>
      </c>
      <c r="Q84" s="72" t="n">
        <v>0</v>
      </c>
      <c r="R84" s="72" t="n">
        <v>0</v>
      </c>
      <c r="S84" s="72" t="n">
        <v>0</v>
      </c>
      <c r="T84" s="72" t="n">
        <v>0</v>
      </c>
      <c r="U84" s="73" t="n">
        <v>11680</v>
      </c>
      <c r="V84" s="72" t="n">
        <v>0</v>
      </c>
      <c r="W84" s="72" t="n">
        <v>0</v>
      </c>
      <c r="X84" s="72" t="n">
        <v>0</v>
      </c>
      <c r="Y84" s="72" t="n">
        <v>0</v>
      </c>
      <c r="Z84" s="72" t="n">
        <v>0</v>
      </c>
      <c r="AA84" s="72" t="n">
        <v>0</v>
      </c>
      <c r="AB84" s="72" t="n">
        <v>0</v>
      </c>
      <c r="AC84" s="72" t="n">
        <v>0</v>
      </c>
      <c r="AD84" s="72" t="n">
        <v>0</v>
      </c>
      <c r="AE84" s="74" t="n">
        <v>0</v>
      </c>
      <c r="AF84" s="75" t="n">
        <v>0</v>
      </c>
      <c r="AG84" s="81"/>
      <c r="AH84" s="71" t="s">
        <v>137</v>
      </c>
    </row>
    <row r="85" customFormat="false" ht="15" hidden="false" customHeight="true" outlineLevel="0" collapsed="false">
      <c r="A85" s="76" t="n">
        <v>46037</v>
      </c>
      <c r="B85" s="76" t="s">
        <v>79</v>
      </c>
      <c r="C85" s="77" t="s">
        <v>46</v>
      </c>
      <c r="D85" s="78" t="n">
        <v>500</v>
      </c>
      <c r="E85" s="79" t="n">
        <v>0</v>
      </c>
      <c r="F85" s="63" t="n">
        <v>0</v>
      </c>
      <c r="G85" s="78" t="n">
        <v>0</v>
      </c>
      <c r="H85" s="78" t="n">
        <v>0</v>
      </c>
      <c r="I85" s="78" t="n">
        <v>0</v>
      </c>
      <c r="J85" s="78" t="n">
        <v>0</v>
      </c>
      <c r="K85" s="78" t="n">
        <v>0</v>
      </c>
      <c r="L85" s="78" t="n">
        <v>0</v>
      </c>
      <c r="M85" s="78" t="n">
        <v>0</v>
      </c>
      <c r="N85" s="78" t="n">
        <v>0</v>
      </c>
      <c r="O85" s="78" t="n">
        <v>0</v>
      </c>
      <c r="P85" s="80" t="n">
        <v>0</v>
      </c>
      <c r="Q85" s="72" t="n">
        <v>0</v>
      </c>
      <c r="R85" s="72" t="n">
        <v>0</v>
      </c>
      <c r="S85" s="72" t="n">
        <v>0</v>
      </c>
      <c r="T85" s="72" t="n">
        <v>0</v>
      </c>
      <c r="U85" s="73" t="n">
        <v>380</v>
      </c>
      <c r="V85" s="72" t="n">
        <v>0</v>
      </c>
      <c r="W85" s="72" t="n">
        <v>0</v>
      </c>
      <c r="X85" s="72" t="n">
        <v>0</v>
      </c>
      <c r="Y85" s="72" t="n">
        <v>0</v>
      </c>
      <c r="Z85" s="72" t="n">
        <v>0</v>
      </c>
      <c r="AA85" s="72" t="n">
        <v>0</v>
      </c>
      <c r="AB85" s="72" t="n">
        <v>0</v>
      </c>
      <c r="AC85" s="72" t="n">
        <v>0</v>
      </c>
      <c r="AD85" s="72" t="n">
        <v>0</v>
      </c>
      <c r="AE85" s="74" t="n">
        <v>0</v>
      </c>
      <c r="AF85" s="75" t="n">
        <v>0</v>
      </c>
      <c r="AG85" s="81"/>
      <c r="AH85" s="71" t="s">
        <v>138</v>
      </c>
    </row>
    <row r="86" customFormat="false" ht="15" hidden="false" customHeight="true" outlineLevel="0" collapsed="false">
      <c r="A86" s="76" t="n">
        <v>46037</v>
      </c>
      <c r="B86" s="76" t="s">
        <v>79</v>
      </c>
      <c r="C86" s="77" t="s">
        <v>46</v>
      </c>
      <c r="D86" s="78" t="n">
        <v>0</v>
      </c>
      <c r="E86" s="79" t="n">
        <v>4000</v>
      </c>
      <c r="F86" s="63" t="n">
        <v>0</v>
      </c>
      <c r="G86" s="78" t="n">
        <v>0</v>
      </c>
      <c r="H86" s="78" t="n">
        <v>0</v>
      </c>
      <c r="I86" s="78" t="n">
        <v>1000</v>
      </c>
      <c r="J86" s="78" t="n">
        <v>0</v>
      </c>
      <c r="K86" s="78" t="n">
        <v>3000</v>
      </c>
      <c r="L86" s="78" t="n">
        <v>0</v>
      </c>
      <c r="M86" s="78" t="n">
        <v>0</v>
      </c>
      <c r="N86" s="78" t="n">
        <v>0</v>
      </c>
      <c r="O86" s="78" t="n">
        <v>0</v>
      </c>
      <c r="P86" s="80" t="n">
        <v>0</v>
      </c>
      <c r="Q86" s="72" t="n">
        <v>0</v>
      </c>
      <c r="R86" s="73" t="n">
        <v>4000</v>
      </c>
      <c r="S86" s="72" t="n">
        <v>0</v>
      </c>
      <c r="T86" s="72" t="n">
        <v>0</v>
      </c>
      <c r="U86" s="72" t="n">
        <v>0</v>
      </c>
      <c r="V86" s="72" t="n">
        <v>0</v>
      </c>
      <c r="W86" s="72" t="n">
        <v>0</v>
      </c>
      <c r="X86" s="72" t="n">
        <v>0</v>
      </c>
      <c r="Y86" s="72" t="n">
        <v>0</v>
      </c>
      <c r="Z86" s="72" t="n">
        <v>0</v>
      </c>
      <c r="AA86" s="72" t="n">
        <v>0</v>
      </c>
      <c r="AB86" s="72" t="n">
        <v>0</v>
      </c>
      <c r="AC86" s="72" t="n">
        <v>0</v>
      </c>
      <c r="AD86" s="72" t="n">
        <v>0</v>
      </c>
      <c r="AE86" s="74" t="n">
        <v>0</v>
      </c>
      <c r="AF86" s="75" t="n">
        <v>0</v>
      </c>
      <c r="AG86" s="81"/>
      <c r="AH86" s="71" t="s">
        <v>138</v>
      </c>
    </row>
    <row r="87" customFormat="false" ht="15" hidden="false" customHeight="true" outlineLevel="0" collapsed="false">
      <c r="A87" s="76" t="n">
        <v>46037</v>
      </c>
      <c r="B87" s="76" t="s">
        <v>101</v>
      </c>
      <c r="C87" s="77" t="s">
        <v>46</v>
      </c>
      <c r="D87" s="78" t="n">
        <v>0</v>
      </c>
      <c r="E87" s="79" t="n">
        <v>8000</v>
      </c>
      <c r="F87" s="63" t="n">
        <v>0</v>
      </c>
      <c r="G87" s="78" t="n">
        <v>0</v>
      </c>
      <c r="H87" s="78" t="n">
        <v>0</v>
      </c>
      <c r="I87" s="78" t="n">
        <v>500</v>
      </c>
      <c r="J87" s="78" t="n">
        <v>6000</v>
      </c>
      <c r="K87" s="78" t="n">
        <v>1500</v>
      </c>
      <c r="L87" s="78" t="n">
        <v>0</v>
      </c>
      <c r="M87" s="78" t="n">
        <v>0</v>
      </c>
      <c r="N87" s="78" t="n">
        <v>0</v>
      </c>
      <c r="O87" s="78" t="n">
        <v>0</v>
      </c>
      <c r="P87" s="80" t="n">
        <v>0</v>
      </c>
      <c r="Q87" s="73" t="n">
        <v>8000</v>
      </c>
      <c r="R87" s="72" t="n">
        <v>0</v>
      </c>
      <c r="S87" s="72" t="n">
        <v>0</v>
      </c>
      <c r="T87" s="72" t="n">
        <v>0</v>
      </c>
      <c r="U87" s="72" t="n">
        <v>0</v>
      </c>
      <c r="V87" s="72" t="n">
        <v>0</v>
      </c>
      <c r="W87" s="72" t="n">
        <v>0</v>
      </c>
      <c r="X87" s="72" t="n">
        <v>0</v>
      </c>
      <c r="Y87" s="72" t="n">
        <v>0</v>
      </c>
      <c r="Z87" s="72" t="n">
        <v>0</v>
      </c>
      <c r="AA87" s="72" t="n">
        <v>0</v>
      </c>
      <c r="AB87" s="72" t="n">
        <v>0</v>
      </c>
      <c r="AC87" s="72" t="n">
        <v>0</v>
      </c>
      <c r="AD87" s="72" t="n">
        <v>0</v>
      </c>
      <c r="AE87" s="74" t="n">
        <v>0</v>
      </c>
      <c r="AF87" s="75" t="n">
        <v>0</v>
      </c>
      <c r="AG87" s="81"/>
      <c r="AH87" s="71"/>
    </row>
    <row r="88" customFormat="false" ht="15" hidden="false" customHeight="true" outlineLevel="0" collapsed="false">
      <c r="A88" s="76" t="n">
        <v>46037</v>
      </c>
      <c r="B88" s="76" t="s">
        <v>139</v>
      </c>
      <c r="C88" s="77"/>
      <c r="D88" s="78" t="n">
        <v>0</v>
      </c>
      <c r="E88" s="79" t="n">
        <v>500</v>
      </c>
      <c r="F88" s="63" t="n">
        <v>0</v>
      </c>
      <c r="G88" s="78" t="n">
        <v>0</v>
      </c>
      <c r="H88" s="78" t="n">
        <v>0</v>
      </c>
      <c r="I88" s="78" t="n">
        <v>0</v>
      </c>
      <c r="J88" s="78" t="n">
        <v>0</v>
      </c>
      <c r="K88" s="78" t="n">
        <v>0</v>
      </c>
      <c r="L88" s="78" t="n">
        <v>0</v>
      </c>
      <c r="M88" s="78" t="n">
        <v>0</v>
      </c>
      <c r="N88" s="78" t="n">
        <v>500</v>
      </c>
      <c r="O88" s="78" t="n">
        <v>0</v>
      </c>
      <c r="P88" s="80" t="n">
        <v>0</v>
      </c>
      <c r="Q88" s="72" t="n">
        <v>0</v>
      </c>
      <c r="R88" s="72" t="n">
        <v>0</v>
      </c>
      <c r="S88" s="72" t="n">
        <v>0</v>
      </c>
      <c r="T88" s="72" t="n">
        <v>0</v>
      </c>
      <c r="U88" s="72" t="n">
        <v>0</v>
      </c>
      <c r="V88" s="73" t="n">
        <v>500</v>
      </c>
      <c r="W88" s="72" t="n">
        <v>0</v>
      </c>
      <c r="X88" s="72" t="n">
        <v>0</v>
      </c>
      <c r="Y88" s="72" t="n">
        <v>0</v>
      </c>
      <c r="Z88" s="72" t="n">
        <v>0</v>
      </c>
      <c r="AA88" s="72" t="n">
        <v>0</v>
      </c>
      <c r="AB88" s="72" t="n">
        <v>0</v>
      </c>
      <c r="AC88" s="72" t="n">
        <v>0</v>
      </c>
      <c r="AD88" s="72" t="n">
        <v>0</v>
      </c>
      <c r="AE88" s="74" t="n">
        <v>0</v>
      </c>
      <c r="AF88" s="75" t="n">
        <v>0</v>
      </c>
      <c r="AG88" s="81"/>
      <c r="AH88" s="71"/>
    </row>
    <row r="89" customFormat="false" ht="15.75" hidden="false" customHeight="true" outlineLevel="0" collapsed="false">
      <c r="A89" s="76" t="n">
        <v>46037</v>
      </c>
      <c r="B89" s="76" t="s">
        <v>140</v>
      </c>
      <c r="C89" s="77" t="s">
        <v>48</v>
      </c>
      <c r="D89" s="78" t="n">
        <v>0</v>
      </c>
      <c r="E89" s="79" t="n">
        <v>0</v>
      </c>
      <c r="F89" s="63" t="n">
        <v>0</v>
      </c>
      <c r="G89" s="78" t="n">
        <v>0</v>
      </c>
      <c r="H89" s="78" t="n">
        <v>0</v>
      </c>
      <c r="I89" s="78" t="n">
        <v>0</v>
      </c>
      <c r="J89" s="78" t="n">
        <v>0</v>
      </c>
      <c r="K89" s="78" t="n">
        <v>0</v>
      </c>
      <c r="L89" s="78" t="n">
        <v>0</v>
      </c>
      <c r="M89" s="78" t="n">
        <v>0</v>
      </c>
      <c r="N89" s="78" t="n">
        <v>0</v>
      </c>
      <c r="O89" s="78" t="n">
        <v>0</v>
      </c>
      <c r="P89" s="80" t="n">
        <v>0</v>
      </c>
      <c r="Q89" s="72" t="n">
        <v>0</v>
      </c>
      <c r="R89" s="72" t="n">
        <v>0</v>
      </c>
      <c r="S89" s="72" t="n">
        <v>0</v>
      </c>
      <c r="T89" s="73" t="n">
        <v>1250</v>
      </c>
      <c r="U89" s="72" t="n">
        <v>0</v>
      </c>
      <c r="V89" s="72" t="n">
        <v>0</v>
      </c>
      <c r="W89" s="72" t="n">
        <v>0</v>
      </c>
      <c r="X89" s="72" t="n">
        <v>0</v>
      </c>
      <c r="Y89" s="72" t="n">
        <v>0</v>
      </c>
      <c r="Z89" s="72" t="n">
        <v>0</v>
      </c>
      <c r="AA89" s="72" t="n">
        <v>0</v>
      </c>
      <c r="AB89" s="72" t="n">
        <v>0</v>
      </c>
      <c r="AC89" s="72" t="n">
        <v>0</v>
      </c>
      <c r="AD89" s="72" t="n">
        <v>0</v>
      </c>
      <c r="AE89" s="74" t="n">
        <v>0</v>
      </c>
      <c r="AF89" s="75" t="n">
        <v>0</v>
      </c>
      <c r="AG89" s="81"/>
      <c r="AH89" s="71"/>
    </row>
    <row r="90" customFormat="false" ht="15.75" hidden="false" customHeight="true" outlineLevel="0" collapsed="false">
      <c r="A90" s="76" t="n">
        <v>46037</v>
      </c>
      <c r="B90" s="76" t="s">
        <v>141</v>
      </c>
      <c r="C90" s="77" t="s">
        <v>53</v>
      </c>
      <c r="D90" s="78" t="n">
        <v>0</v>
      </c>
      <c r="E90" s="79" t="n">
        <v>0</v>
      </c>
      <c r="F90" s="63" t="n">
        <v>0</v>
      </c>
      <c r="G90" s="78" t="n">
        <v>0</v>
      </c>
      <c r="H90" s="78" t="n">
        <v>0</v>
      </c>
      <c r="I90" s="78" t="n">
        <v>0</v>
      </c>
      <c r="J90" s="78" t="n">
        <v>0</v>
      </c>
      <c r="K90" s="78" t="n">
        <v>0</v>
      </c>
      <c r="L90" s="78" t="n">
        <v>0</v>
      </c>
      <c r="M90" s="78" t="n">
        <v>0</v>
      </c>
      <c r="N90" s="78" t="n">
        <v>0</v>
      </c>
      <c r="O90" s="78" t="n">
        <v>0</v>
      </c>
      <c r="P90" s="80" t="n">
        <v>0</v>
      </c>
      <c r="Q90" s="72" t="n">
        <v>0</v>
      </c>
      <c r="R90" s="72" t="n">
        <v>0</v>
      </c>
      <c r="S90" s="72" t="n">
        <v>0</v>
      </c>
      <c r="T90" s="72" t="n">
        <v>0</v>
      </c>
      <c r="U90" s="72" t="n">
        <v>0</v>
      </c>
      <c r="V90" s="72" t="n">
        <v>0</v>
      </c>
      <c r="W90" s="72" t="n">
        <v>0</v>
      </c>
      <c r="X90" s="73" t="n">
        <v>2237</v>
      </c>
      <c r="Y90" s="72" t="n">
        <v>0</v>
      </c>
      <c r="Z90" s="72" t="n">
        <v>0</v>
      </c>
      <c r="AA90" s="72" t="n">
        <v>0</v>
      </c>
      <c r="AB90" s="72" t="n">
        <v>0</v>
      </c>
      <c r="AC90" s="72" t="n">
        <v>0</v>
      </c>
      <c r="AD90" s="72" t="n">
        <v>0</v>
      </c>
      <c r="AE90" s="74" t="n">
        <v>0</v>
      </c>
      <c r="AF90" s="75" t="n">
        <v>0</v>
      </c>
      <c r="AG90" s="81"/>
      <c r="AH90" s="71"/>
    </row>
    <row r="91" customFormat="false" ht="15.75" hidden="false" customHeight="true" outlineLevel="0" collapsed="false">
      <c r="A91" s="76" t="n">
        <v>46037</v>
      </c>
      <c r="B91" s="76" t="s">
        <v>142</v>
      </c>
      <c r="C91" s="77" t="s">
        <v>53</v>
      </c>
      <c r="D91" s="78" t="n">
        <v>0</v>
      </c>
      <c r="E91" s="79" t="n">
        <v>0</v>
      </c>
      <c r="F91" s="63" t="n">
        <v>0</v>
      </c>
      <c r="G91" s="78" t="n">
        <v>0</v>
      </c>
      <c r="H91" s="78" t="n">
        <v>0</v>
      </c>
      <c r="I91" s="78" t="n">
        <v>0</v>
      </c>
      <c r="J91" s="78" t="n">
        <v>0</v>
      </c>
      <c r="K91" s="78" t="n">
        <v>0</v>
      </c>
      <c r="L91" s="78" t="n">
        <v>0</v>
      </c>
      <c r="M91" s="78" t="n">
        <v>0</v>
      </c>
      <c r="N91" s="78" t="n">
        <v>0</v>
      </c>
      <c r="O91" s="78" t="n">
        <v>0</v>
      </c>
      <c r="P91" s="80" t="n">
        <v>0</v>
      </c>
      <c r="Q91" s="72" t="n">
        <v>0</v>
      </c>
      <c r="R91" s="72" t="n">
        <v>0</v>
      </c>
      <c r="S91" s="72" t="n">
        <v>0</v>
      </c>
      <c r="T91" s="72" t="n">
        <v>0</v>
      </c>
      <c r="U91" s="72" t="n">
        <v>0</v>
      </c>
      <c r="V91" s="72" t="n">
        <v>0</v>
      </c>
      <c r="W91" s="72" t="n">
        <v>0</v>
      </c>
      <c r="X91" s="73" t="n">
        <v>1245</v>
      </c>
      <c r="Y91" s="72" t="n">
        <v>0</v>
      </c>
      <c r="Z91" s="72" t="n">
        <v>0</v>
      </c>
      <c r="AA91" s="72" t="n">
        <v>0</v>
      </c>
      <c r="AB91" s="72" t="n">
        <v>0</v>
      </c>
      <c r="AC91" s="72" t="n">
        <v>0</v>
      </c>
      <c r="AD91" s="72" t="n">
        <v>0</v>
      </c>
      <c r="AE91" s="74" t="n">
        <v>0</v>
      </c>
      <c r="AF91" s="75" t="n">
        <v>0</v>
      </c>
      <c r="AG91" s="81"/>
      <c r="AH91" s="71"/>
    </row>
    <row r="92" customFormat="false" ht="15.75" hidden="false" customHeight="true" outlineLevel="0" collapsed="false">
      <c r="A92" s="76" t="n">
        <v>46037</v>
      </c>
      <c r="B92" s="76" t="s">
        <v>143</v>
      </c>
      <c r="C92" s="77" t="s">
        <v>53</v>
      </c>
      <c r="D92" s="78" t="n">
        <v>0</v>
      </c>
      <c r="E92" s="79" t="n">
        <v>0</v>
      </c>
      <c r="F92" s="63" t="n">
        <v>0</v>
      </c>
      <c r="G92" s="78" t="n">
        <v>0</v>
      </c>
      <c r="H92" s="78" t="n">
        <v>0</v>
      </c>
      <c r="I92" s="78" t="n">
        <v>0</v>
      </c>
      <c r="J92" s="78" t="n">
        <v>0</v>
      </c>
      <c r="K92" s="78" t="n">
        <v>0</v>
      </c>
      <c r="L92" s="78" t="n">
        <v>0</v>
      </c>
      <c r="M92" s="78" t="n">
        <v>0</v>
      </c>
      <c r="N92" s="78" t="n">
        <v>0</v>
      </c>
      <c r="O92" s="78" t="n">
        <v>0</v>
      </c>
      <c r="P92" s="80" t="n">
        <v>0</v>
      </c>
      <c r="Q92" s="72" t="n">
        <v>0</v>
      </c>
      <c r="R92" s="72" t="n">
        <v>0</v>
      </c>
      <c r="S92" s="72" t="n">
        <v>0</v>
      </c>
      <c r="T92" s="72" t="n">
        <v>0</v>
      </c>
      <c r="U92" s="72" t="n">
        <v>0</v>
      </c>
      <c r="V92" s="72" t="n">
        <v>0</v>
      </c>
      <c r="W92" s="72" t="n">
        <v>0</v>
      </c>
      <c r="X92" s="73" t="n">
        <v>1120</v>
      </c>
      <c r="Y92" s="72" t="n">
        <v>0</v>
      </c>
      <c r="Z92" s="72" t="n">
        <v>0</v>
      </c>
      <c r="AA92" s="72" t="n">
        <v>0</v>
      </c>
      <c r="AB92" s="72" t="n">
        <v>0</v>
      </c>
      <c r="AC92" s="72" t="n">
        <v>0</v>
      </c>
      <c r="AD92" s="72" t="n">
        <v>0</v>
      </c>
      <c r="AE92" s="74" t="n">
        <v>0</v>
      </c>
      <c r="AF92" s="75" t="n">
        <v>0</v>
      </c>
      <c r="AG92" s="81"/>
      <c r="AH92" s="71"/>
    </row>
    <row r="93" customFormat="false" ht="15.75" hidden="false" customHeight="true" outlineLevel="0" collapsed="false">
      <c r="A93" s="76" t="n">
        <v>46037</v>
      </c>
      <c r="B93" s="76" t="s">
        <v>142</v>
      </c>
      <c r="C93" s="77" t="s">
        <v>46</v>
      </c>
      <c r="D93" s="78" t="n">
        <v>0</v>
      </c>
      <c r="E93" s="79" t="n">
        <v>4200</v>
      </c>
      <c r="F93" s="63" t="n">
        <v>0</v>
      </c>
      <c r="G93" s="78" t="n">
        <v>0</v>
      </c>
      <c r="H93" s="78" t="n">
        <v>0</v>
      </c>
      <c r="I93" s="78" t="n">
        <v>0</v>
      </c>
      <c r="J93" s="78" t="n">
        <v>0</v>
      </c>
      <c r="K93" s="78" t="n">
        <v>4200</v>
      </c>
      <c r="L93" s="78" t="n">
        <v>0</v>
      </c>
      <c r="M93" s="78" t="n">
        <v>0</v>
      </c>
      <c r="N93" s="78" t="n">
        <v>0</v>
      </c>
      <c r="O93" s="78" t="n">
        <v>0</v>
      </c>
      <c r="P93" s="80" t="n">
        <v>0</v>
      </c>
      <c r="Q93" s="72" t="n">
        <v>0</v>
      </c>
      <c r="R93" s="72" t="n">
        <v>0</v>
      </c>
      <c r="S93" s="72" t="n">
        <v>0</v>
      </c>
      <c r="T93" s="72" t="n">
        <v>0</v>
      </c>
      <c r="U93" s="72" t="n">
        <v>0</v>
      </c>
      <c r="V93" s="72" t="n">
        <v>0</v>
      </c>
      <c r="W93" s="72" t="n">
        <v>0</v>
      </c>
      <c r="X93" s="72" t="n">
        <v>0</v>
      </c>
      <c r="Y93" s="72" t="n">
        <v>0</v>
      </c>
      <c r="Z93" s="72" t="n">
        <v>0</v>
      </c>
      <c r="AA93" s="72" t="n">
        <v>0</v>
      </c>
      <c r="AB93" s="72" t="n">
        <v>0</v>
      </c>
      <c r="AC93" s="72" t="n">
        <v>0</v>
      </c>
      <c r="AD93" s="72" t="n">
        <v>0</v>
      </c>
      <c r="AE93" s="74" t="n">
        <v>4200</v>
      </c>
      <c r="AF93" s="75" t="n">
        <v>0</v>
      </c>
      <c r="AG93" s="81" t="s">
        <v>111</v>
      </c>
      <c r="AH93" s="71"/>
    </row>
    <row r="94" customFormat="false" ht="15.75" hidden="false" customHeight="true" outlineLevel="0" collapsed="false">
      <c r="A94" s="76" t="n">
        <v>46038</v>
      </c>
      <c r="B94" s="76" t="s">
        <v>144</v>
      </c>
      <c r="C94" s="77" t="s">
        <v>46</v>
      </c>
      <c r="D94" s="78" t="n">
        <v>0</v>
      </c>
      <c r="E94" s="79" t="n">
        <v>3800</v>
      </c>
      <c r="F94" s="63" t="n">
        <v>0</v>
      </c>
      <c r="G94" s="78" t="n">
        <v>0</v>
      </c>
      <c r="H94" s="78" t="n">
        <v>0</v>
      </c>
      <c r="I94" s="78" t="n">
        <v>3200</v>
      </c>
      <c r="J94" s="78" t="n">
        <v>600</v>
      </c>
      <c r="K94" s="78" t="n">
        <v>0</v>
      </c>
      <c r="L94" s="78" t="n">
        <v>0</v>
      </c>
      <c r="M94" s="78" t="n">
        <v>0</v>
      </c>
      <c r="N94" s="78" t="n">
        <v>0</v>
      </c>
      <c r="O94" s="78" t="n">
        <v>0</v>
      </c>
      <c r="P94" s="80" t="n">
        <v>0</v>
      </c>
      <c r="Q94" s="72" t="n">
        <v>0</v>
      </c>
      <c r="R94" s="73" t="n">
        <v>3800</v>
      </c>
      <c r="S94" s="72" t="n">
        <v>0</v>
      </c>
      <c r="T94" s="72" t="n">
        <v>0</v>
      </c>
      <c r="U94" s="72" t="n">
        <v>0</v>
      </c>
      <c r="V94" s="72" t="n">
        <v>0</v>
      </c>
      <c r="W94" s="72" t="n">
        <v>0</v>
      </c>
      <c r="X94" s="72" t="n">
        <v>0</v>
      </c>
      <c r="Y94" s="72" t="n">
        <v>0</v>
      </c>
      <c r="Z94" s="72" t="n">
        <v>0</v>
      </c>
      <c r="AA94" s="72" t="n">
        <v>0</v>
      </c>
      <c r="AB94" s="72" t="n">
        <v>0</v>
      </c>
      <c r="AC94" s="72" t="n">
        <v>0</v>
      </c>
      <c r="AD94" s="72" t="n">
        <v>0</v>
      </c>
      <c r="AE94" s="74" t="n">
        <v>0</v>
      </c>
      <c r="AF94" s="75" t="n">
        <v>0</v>
      </c>
      <c r="AG94" s="81"/>
      <c r="AH94" s="71" t="s">
        <v>145</v>
      </c>
    </row>
    <row r="95" customFormat="false" ht="15.75" hidden="false" customHeight="true" outlineLevel="0" collapsed="false">
      <c r="A95" s="76" t="n">
        <v>46038</v>
      </c>
      <c r="B95" s="76" t="s">
        <v>146</v>
      </c>
      <c r="C95" s="77" t="s">
        <v>46</v>
      </c>
      <c r="D95" s="78" t="n">
        <v>500</v>
      </c>
      <c r="E95" s="79" t="n">
        <v>0</v>
      </c>
      <c r="F95" s="63" t="n">
        <v>0</v>
      </c>
      <c r="G95" s="78" t="n">
        <v>0</v>
      </c>
      <c r="H95" s="78" t="n">
        <v>0</v>
      </c>
      <c r="I95" s="78" t="n">
        <v>0</v>
      </c>
      <c r="J95" s="78" t="n">
        <v>0</v>
      </c>
      <c r="K95" s="78" t="n">
        <v>0</v>
      </c>
      <c r="L95" s="78" t="n">
        <v>0</v>
      </c>
      <c r="M95" s="78" t="n">
        <v>0</v>
      </c>
      <c r="N95" s="78" t="n">
        <v>0</v>
      </c>
      <c r="O95" s="78" t="n">
        <v>0</v>
      </c>
      <c r="P95" s="80" t="n">
        <v>0</v>
      </c>
      <c r="Q95" s="72" t="n">
        <v>0</v>
      </c>
      <c r="R95" s="72" t="n">
        <v>0</v>
      </c>
      <c r="S95" s="72" t="n">
        <v>0</v>
      </c>
      <c r="T95" s="72" t="n">
        <v>0</v>
      </c>
      <c r="U95" s="72" t="n">
        <v>0</v>
      </c>
      <c r="V95" s="73" t="n">
        <v>500</v>
      </c>
      <c r="W95" s="72" t="n">
        <v>0</v>
      </c>
      <c r="X95" s="72" t="n">
        <v>0</v>
      </c>
      <c r="Y95" s="72" t="n">
        <v>0</v>
      </c>
      <c r="Z95" s="72" t="n">
        <v>0</v>
      </c>
      <c r="AA95" s="72" t="n">
        <v>0</v>
      </c>
      <c r="AB95" s="72" t="n">
        <v>0</v>
      </c>
      <c r="AC95" s="72" t="n">
        <v>0</v>
      </c>
      <c r="AD95" s="72" t="n">
        <v>0</v>
      </c>
      <c r="AE95" s="74" t="n">
        <v>0</v>
      </c>
      <c r="AF95" s="75" t="n">
        <v>0</v>
      </c>
      <c r="AG95" s="81"/>
      <c r="AH95" s="71"/>
    </row>
    <row r="96" customFormat="false" ht="15.75" hidden="false" customHeight="true" outlineLevel="0" collapsed="false">
      <c r="A96" s="76" t="n">
        <v>46038</v>
      </c>
      <c r="B96" s="76" t="s">
        <v>146</v>
      </c>
      <c r="C96" s="77" t="s">
        <v>46</v>
      </c>
      <c r="D96" s="78" t="n">
        <v>0</v>
      </c>
      <c r="E96" s="79" t="n">
        <v>3400</v>
      </c>
      <c r="F96" s="63" t="n">
        <v>0</v>
      </c>
      <c r="G96" s="78" t="n">
        <v>0</v>
      </c>
      <c r="H96" s="78" t="n">
        <v>0</v>
      </c>
      <c r="I96" s="78" t="n">
        <v>2800</v>
      </c>
      <c r="J96" s="78" t="n">
        <v>0</v>
      </c>
      <c r="K96" s="78" t="n">
        <v>600</v>
      </c>
      <c r="L96" s="78" t="n">
        <v>0</v>
      </c>
      <c r="M96" s="78" t="n">
        <v>0</v>
      </c>
      <c r="N96" s="78" t="n">
        <v>0</v>
      </c>
      <c r="O96" s="78" t="n">
        <v>0</v>
      </c>
      <c r="P96" s="80" t="n">
        <v>0</v>
      </c>
      <c r="Q96" s="72" t="n">
        <v>0</v>
      </c>
      <c r="R96" s="72" t="n">
        <v>0</v>
      </c>
      <c r="S96" s="72" t="n">
        <v>0</v>
      </c>
      <c r="T96" s="72" t="n">
        <v>0</v>
      </c>
      <c r="U96" s="72" t="n">
        <v>0</v>
      </c>
      <c r="V96" s="72" t="n">
        <v>0</v>
      </c>
      <c r="W96" s="72" t="n">
        <v>0</v>
      </c>
      <c r="X96" s="72" t="n">
        <v>0</v>
      </c>
      <c r="Y96" s="72" t="n">
        <v>0</v>
      </c>
      <c r="Z96" s="72" t="n">
        <v>0</v>
      </c>
      <c r="AA96" s="72" t="n">
        <v>0</v>
      </c>
      <c r="AB96" s="72" t="n">
        <v>0</v>
      </c>
      <c r="AC96" s="72" t="n">
        <v>0</v>
      </c>
      <c r="AD96" s="72" t="n">
        <v>0</v>
      </c>
      <c r="AE96" s="74" t="n">
        <v>0</v>
      </c>
      <c r="AF96" s="75" t="n">
        <v>0</v>
      </c>
      <c r="AG96" s="81" t="s">
        <v>147</v>
      </c>
      <c r="AH96" s="71"/>
    </row>
    <row r="97" customFormat="false" ht="15.75" hidden="false" customHeight="true" outlineLevel="0" collapsed="false">
      <c r="A97" s="76" t="n">
        <v>46038</v>
      </c>
      <c r="B97" s="76" t="s">
        <v>148</v>
      </c>
      <c r="C97" s="77" t="s">
        <v>46</v>
      </c>
      <c r="D97" s="78" t="n">
        <v>0</v>
      </c>
      <c r="E97" s="79" t="n">
        <v>8380</v>
      </c>
      <c r="F97" s="63" t="n">
        <v>620</v>
      </c>
      <c r="G97" s="78" t="n">
        <v>0</v>
      </c>
      <c r="H97" s="78" t="n">
        <v>0</v>
      </c>
      <c r="I97" s="78" t="n">
        <v>0</v>
      </c>
      <c r="J97" s="78" t="n">
        <v>6000</v>
      </c>
      <c r="K97" s="78" t="n">
        <v>2380</v>
      </c>
      <c r="L97" s="78" t="n">
        <v>0</v>
      </c>
      <c r="M97" s="78" t="n">
        <v>0</v>
      </c>
      <c r="N97" s="78" t="n">
        <v>0</v>
      </c>
      <c r="O97" s="78" t="n">
        <v>0</v>
      </c>
      <c r="P97" s="80" t="n">
        <v>0</v>
      </c>
      <c r="Q97" s="72" t="n">
        <v>0</v>
      </c>
      <c r="R97" s="72" t="n">
        <v>0</v>
      </c>
      <c r="S97" s="72" t="n">
        <v>0</v>
      </c>
      <c r="T97" s="72" t="n">
        <v>0</v>
      </c>
      <c r="U97" s="72" t="n">
        <v>0</v>
      </c>
      <c r="V97" s="73" t="n">
        <v>11780</v>
      </c>
      <c r="W97" s="72" t="n">
        <v>0</v>
      </c>
      <c r="X97" s="72" t="n">
        <v>0</v>
      </c>
      <c r="Y97" s="72" t="n">
        <v>0</v>
      </c>
      <c r="Z97" s="72" t="n">
        <v>0</v>
      </c>
      <c r="AA97" s="72" t="n">
        <v>0</v>
      </c>
      <c r="AB97" s="72" t="n">
        <v>0</v>
      </c>
      <c r="AC97" s="72" t="n">
        <v>0</v>
      </c>
      <c r="AD97" s="72" t="n">
        <v>0</v>
      </c>
      <c r="AE97" s="74" t="n">
        <v>0</v>
      </c>
      <c r="AF97" s="75" t="n">
        <v>0</v>
      </c>
      <c r="AG97" s="81" t="s">
        <v>149</v>
      </c>
      <c r="AH97" s="71"/>
    </row>
    <row r="98" customFormat="false" ht="15.75" hidden="false" customHeight="true" outlineLevel="0" collapsed="false">
      <c r="A98" s="76" t="n">
        <v>46038</v>
      </c>
      <c r="B98" s="76" t="s">
        <v>150</v>
      </c>
      <c r="C98" s="77" t="s">
        <v>46</v>
      </c>
      <c r="D98" s="78" t="n">
        <v>0</v>
      </c>
      <c r="E98" s="79" t="n">
        <v>4050</v>
      </c>
      <c r="F98" s="63" t="n">
        <v>1350</v>
      </c>
      <c r="G98" s="78" t="n">
        <v>0</v>
      </c>
      <c r="H98" s="78" t="n">
        <v>0</v>
      </c>
      <c r="I98" s="78" t="n">
        <v>0</v>
      </c>
      <c r="J98" s="78" t="n">
        <v>0</v>
      </c>
      <c r="K98" s="78" t="n">
        <v>4050</v>
      </c>
      <c r="L98" s="78" t="n">
        <v>0</v>
      </c>
      <c r="M98" s="78" t="n">
        <v>0</v>
      </c>
      <c r="N98" s="78" t="n">
        <v>0</v>
      </c>
      <c r="O98" s="78" t="n">
        <v>0</v>
      </c>
      <c r="P98" s="80" t="n">
        <v>0</v>
      </c>
      <c r="Q98" s="72" t="n">
        <v>0</v>
      </c>
      <c r="R98" s="73" t="n">
        <v>4050</v>
      </c>
      <c r="S98" s="72" t="n">
        <v>0</v>
      </c>
      <c r="T98" s="72" t="n">
        <v>0</v>
      </c>
      <c r="U98" s="72" t="n">
        <v>0</v>
      </c>
      <c r="V98" s="72" t="n">
        <v>0</v>
      </c>
      <c r="W98" s="72" t="n">
        <v>0</v>
      </c>
      <c r="X98" s="72" t="n">
        <v>0</v>
      </c>
      <c r="Y98" s="72" t="n">
        <v>0</v>
      </c>
      <c r="Z98" s="72" t="n">
        <v>0</v>
      </c>
      <c r="AA98" s="72" t="n">
        <v>0</v>
      </c>
      <c r="AB98" s="72" t="n">
        <v>0</v>
      </c>
      <c r="AC98" s="72" t="n">
        <v>0</v>
      </c>
      <c r="AD98" s="72" t="n">
        <v>0</v>
      </c>
      <c r="AE98" s="74" t="n">
        <v>0</v>
      </c>
      <c r="AF98" s="75" t="n">
        <v>0</v>
      </c>
      <c r="AG98" s="81"/>
      <c r="AH98" s="71" t="s">
        <v>151</v>
      </c>
    </row>
    <row r="99" customFormat="false" ht="15.75" hidden="false" customHeight="true" outlineLevel="0" collapsed="false">
      <c r="A99" s="76" t="n">
        <v>46038</v>
      </c>
      <c r="B99" s="76" t="s">
        <v>152</v>
      </c>
      <c r="C99" s="77" t="s">
        <v>46</v>
      </c>
      <c r="D99" s="78" t="n">
        <v>0</v>
      </c>
      <c r="E99" s="79" t="n">
        <v>5150</v>
      </c>
      <c r="F99" s="63" t="n">
        <v>0</v>
      </c>
      <c r="G99" s="78" t="n">
        <v>0</v>
      </c>
      <c r="H99" s="78" t="n">
        <v>0</v>
      </c>
      <c r="I99" s="78" t="n">
        <v>4000</v>
      </c>
      <c r="J99" s="78" t="n">
        <v>0</v>
      </c>
      <c r="K99" s="78" t="n">
        <v>1150</v>
      </c>
      <c r="L99" s="78" t="n">
        <v>0</v>
      </c>
      <c r="M99" s="78" t="n">
        <v>0</v>
      </c>
      <c r="N99" s="78" t="n">
        <v>0</v>
      </c>
      <c r="O99" s="78" t="n">
        <v>0</v>
      </c>
      <c r="P99" s="80" t="n">
        <v>0</v>
      </c>
      <c r="Q99" s="72" t="n">
        <v>0</v>
      </c>
      <c r="R99" s="73" t="n">
        <v>5150</v>
      </c>
      <c r="S99" s="72" t="n">
        <v>0</v>
      </c>
      <c r="T99" s="72" t="n">
        <v>0</v>
      </c>
      <c r="U99" s="72" t="n">
        <v>0</v>
      </c>
      <c r="V99" s="72" t="n">
        <v>0</v>
      </c>
      <c r="W99" s="72" t="n">
        <v>0</v>
      </c>
      <c r="X99" s="72" t="n">
        <v>0</v>
      </c>
      <c r="Y99" s="72" t="n">
        <v>0</v>
      </c>
      <c r="Z99" s="72" t="n">
        <v>0</v>
      </c>
      <c r="AA99" s="72" t="n">
        <v>0</v>
      </c>
      <c r="AB99" s="72" t="n">
        <v>0</v>
      </c>
      <c r="AC99" s="72" t="n">
        <v>0</v>
      </c>
      <c r="AD99" s="72" t="n">
        <v>0</v>
      </c>
      <c r="AE99" s="74" t="n">
        <v>0</v>
      </c>
      <c r="AF99" s="75" t="n">
        <v>0</v>
      </c>
      <c r="AG99" s="81"/>
      <c r="AH99" s="71" t="s">
        <v>153</v>
      </c>
    </row>
    <row r="100" customFormat="false" ht="15.75" hidden="false" customHeight="true" outlineLevel="0" collapsed="false">
      <c r="A100" s="76" t="n">
        <v>46038</v>
      </c>
      <c r="B100" s="76" t="s">
        <v>134</v>
      </c>
      <c r="C100" s="77"/>
      <c r="D100" s="78" t="n">
        <v>0</v>
      </c>
      <c r="E100" s="79" t="n">
        <v>0</v>
      </c>
      <c r="F100" s="63" t="n">
        <v>0</v>
      </c>
      <c r="G100" s="78" t="n">
        <v>0</v>
      </c>
      <c r="H100" s="78" t="n">
        <v>0</v>
      </c>
      <c r="I100" s="78" t="n">
        <v>0</v>
      </c>
      <c r="J100" s="78" t="n">
        <v>0</v>
      </c>
      <c r="K100" s="78" t="n">
        <v>0</v>
      </c>
      <c r="L100" s="78" t="n">
        <v>0</v>
      </c>
      <c r="M100" s="78" t="n">
        <v>0</v>
      </c>
      <c r="N100" s="78" t="n">
        <v>0</v>
      </c>
      <c r="O100" s="78" t="n">
        <v>0</v>
      </c>
      <c r="P100" s="80" t="n">
        <v>0</v>
      </c>
      <c r="Q100" s="72" t="n">
        <v>0</v>
      </c>
      <c r="R100" s="72" t="n">
        <v>0</v>
      </c>
      <c r="S100" s="73" t="n">
        <v>1</v>
      </c>
      <c r="T100" s="72" t="n">
        <v>0</v>
      </c>
      <c r="U100" s="72" t="n">
        <v>0</v>
      </c>
      <c r="V100" s="72" t="n">
        <v>0</v>
      </c>
      <c r="W100" s="72" t="n">
        <v>0</v>
      </c>
      <c r="X100" s="72" t="n">
        <v>0</v>
      </c>
      <c r="Y100" s="72" t="n">
        <v>0</v>
      </c>
      <c r="Z100" s="72" t="n">
        <v>0</v>
      </c>
      <c r="AA100" s="72" t="n">
        <v>0</v>
      </c>
      <c r="AB100" s="72" t="n">
        <v>0</v>
      </c>
      <c r="AC100" s="72" t="n">
        <v>0</v>
      </c>
      <c r="AD100" s="72" t="n">
        <v>0</v>
      </c>
      <c r="AE100" s="74" t="n">
        <v>0</v>
      </c>
      <c r="AF100" s="75" t="n">
        <v>0</v>
      </c>
      <c r="AG100" s="81"/>
      <c r="AH100" s="71" t="s">
        <v>135</v>
      </c>
    </row>
    <row r="101" customFormat="false" ht="15.75" hidden="false" customHeight="true" outlineLevel="0" collapsed="false">
      <c r="A101" s="76" t="n">
        <v>46038</v>
      </c>
      <c r="B101" s="76" t="s">
        <v>134</v>
      </c>
      <c r="C101" s="77"/>
      <c r="D101" s="78" t="n">
        <v>0</v>
      </c>
      <c r="E101" s="79" t="n">
        <v>0</v>
      </c>
      <c r="F101" s="63" t="n">
        <v>0</v>
      </c>
      <c r="G101" s="78" t="n">
        <v>0</v>
      </c>
      <c r="H101" s="78" t="n">
        <v>0</v>
      </c>
      <c r="I101" s="78" t="n">
        <v>0</v>
      </c>
      <c r="J101" s="78" t="n">
        <v>0</v>
      </c>
      <c r="K101" s="78" t="n">
        <v>0</v>
      </c>
      <c r="L101" s="78" t="n">
        <v>0</v>
      </c>
      <c r="M101" s="78" t="n">
        <v>0</v>
      </c>
      <c r="N101" s="78" t="n">
        <v>0</v>
      </c>
      <c r="O101" s="78" t="n">
        <v>0</v>
      </c>
      <c r="P101" s="80" t="n">
        <v>0</v>
      </c>
      <c r="Q101" s="72" t="n">
        <v>0</v>
      </c>
      <c r="R101" s="72" t="n">
        <v>0</v>
      </c>
      <c r="S101" s="73" t="n">
        <v>1</v>
      </c>
      <c r="T101" s="72" t="n">
        <v>0</v>
      </c>
      <c r="U101" s="72" t="n">
        <v>0</v>
      </c>
      <c r="V101" s="72" t="n">
        <v>0</v>
      </c>
      <c r="W101" s="72" t="n">
        <v>0</v>
      </c>
      <c r="X101" s="72" t="n">
        <v>0</v>
      </c>
      <c r="Y101" s="72" t="n">
        <v>0</v>
      </c>
      <c r="Z101" s="72" t="n">
        <v>0</v>
      </c>
      <c r="AA101" s="72" t="n">
        <v>0</v>
      </c>
      <c r="AB101" s="72" t="n">
        <v>0</v>
      </c>
      <c r="AC101" s="72" t="n">
        <v>0</v>
      </c>
      <c r="AD101" s="72" t="n">
        <v>0</v>
      </c>
      <c r="AE101" s="74" t="n">
        <v>0</v>
      </c>
      <c r="AF101" s="75" t="n">
        <v>0</v>
      </c>
      <c r="AG101" s="81"/>
      <c r="AH101" s="71" t="s">
        <v>135</v>
      </c>
    </row>
    <row r="102" customFormat="false" ht="15.75" hidden="false" customHeight="true" outlineLevel="0" collapsed="false">
      <c r="A102" s="76" t="n">
        <v>46038</v>
      </c>
      <c r="B102" s="76" t="s">
        <v>134</v>
      </c>
      <c r="C102" s="77"/>
      <c r="D102" s="78" t="n">
        <v>0</v>
      </c>
      <c r="E102" s="79" t="n">
        <v>0</v>
      </c>
      <c r="F102" s="63" t="n">
        <v>0</v>
      </c>
      <c r="G102" s="78" t="n">
        <v>0</v>
      </c>
      <c r="H102" s="78" t="n">
        <v>0</v>
      </c>
      <c r="I102" s="78" t="n">
        <v>0</v>
      </c>
      <c r="J102" s="78" t="n">
        <v>0</v>
      </c>
      <c r="K102" s="78" t="n">
        <v>0</v>
      </c>
      <c r="L102" s="78" t="n">
        <v>0</v>
      </c>
      <c r="M102" s="78" t="n">
        <v>0</v>
      </c>
      <c r="N102" s="78" t="n">
        <v>0</v>
      </c>
      <c r="O102" s="78" t="n">
        <v>0</v>
      </c>
      <c r="P102" s="80" t="n">
        <v>0</v>
      </c>
      <c r="Q102" s="72" t="n">
        <v>0</v>
      </c>
      <c r="R102" s="72" t="n">
        <v>0</v>
      </c>
      <c r="S102" s="73" t="n">
        <v>1</v>
      </c>
      <c r="T102" s="72" t="n">
        <v>0</v>
      </c>
      <c r="U102" s="72" t="n">
        <v>0</v>
      </c>
      <c r="V102" s="72" t="n">
        <v>0</v>
      </c>
      <c r="W102" s="72" t="n">
        <v>0</v>
      </c>
      <c r="X102" s="72" t="n">
        <v>0</v>
      </c>
      <c r="Y102" s="72" t="n">
        <v>0</v>
      </c>
      <c r="Z102" s="72" t="n">
        <v>0</v>
      </c>
      <c r="AA102" s="72" t="n">
        <v>0</v>
      </c>
      <c r="AB102" s="72" t="n">
        <v>0</v>
      </c>
      <c r="AC102" s="72" t="n">
        <v>0</v>
      </c>
      <c r="AD102" s="72" t="n">
        <v>0</v>
      </c>
      <c r="AE102" s="74" t="n">
        <v>0</v>
      </c>
      <c r="AF102" s="75" t="n">
        <v>0</v>
      </c>
      <c r="AG102" s="81"/>
      <c r="AH102" s="71" t="s">
        <v>135</v>
      </c>
    </row>
    <row r="103" customFormat="false" ht="15.75" hidden="false" customHeight="true" outlineLevel="0" collapsed="false">
      <c r="A103" s="76" t="n">
        <v>46038</v>
      </c>
      <c r="B103" s="76" t="s">
        <v>134</v>
      </c>
      <c r="C103" s="77"/>
      <c r="D103" s="78" t="n">
        <v>0</v>
      </c>
      <c r="E103" s="79" t="n">
        <v>0</v>
      </c>
      <c r="F103" s="63" t="n">
        <v>0</v>
      </c>
      <c r="G103" s="78" t="n">
        <v>0</v>
      </c>
      <c r="H103" s="78" t="n">
        <v>0</v>
      </c>
      <c r="I103" s="78" t="n">
        <v>0</v>
      </c>
      <c r="J103" s="78" t="n">
        <v>0</v>
      </c>
      <c r="K103" s="78" t="n">
        <v>0</v>
      </c>
      <c r="L103" s="78" t="n">
        <v>0</v>
      </c>
      <c r="M103" s="78" t="n">
        <v>0</v>
      </c>
      <c r="N103" s="78" t="n">
        <v>0</v>
      </c>
      <c r="O103" s="78" t="n">
        <v>0</v>
      </c>
      <c r="P103" s="80" t="n">
        <v>0</v>
      </c>
      <c r="Q103" s="72" t="n">
        <v>0</v>
      </c>
      <c r="R103" s="72" t="n">
        <v>0</v>
      </c>
      <c r="S103" s="73" t="n">
        <v>1</v>
      </c>
      <c r="T103" s="72" t="n">
        <v>0</v>
      </c>
      <c r="U103" s="72" t="n">
        <v>0</v>
      </c>
      <c r="V103" s="72" t="n">
        <v>0</v>
      </c>
      <c r="W103" s="72" t="n">
        <v>0</v>
      </c>
      <c r="X103" s="72" t="n">
        <v>0</v>
      </c>
      <c r="Y103" s="72" t="n">
        <v>0</v>
      </c>
      <c r="Z103" s="72" t="n">
        <v>0</v>
      </c>
      <c r="AA103" s="72" t="n">
        <v>0</v>
      </c>
      <c r="AB103" s="72" t="n">
        <v>0</v>
      </c>
      <c r="AC103" s="72" t="n">
        <v>0</v>
      </c>
      <c r="AD103" s="72" t="n">
        <v>0</v>
      </c>
      <c r="AE103" s="74" t="n">
        <v>0</v>
      </c>
      <c r="AF103" s="75" t="n">
        <v>0</v>
      </c>
      <c r="AG103" s="81"/>
      <c r="AH103" s="71" t="s">
        <v>154</v>
      </c>
    </row>
    <row r="104" customFormat="false" ht="15.75" hidden="false" customHeight="true" outlineLevel="0" collapsed="false">
      <c r="A104" s="76" t="n">
        <v>46038</v>
      </c>
      <c r="B104" s="76" t="s">
        <v>134</v>
      </c>
      <c r="C104" s="77"/>
      <c r="D104" s="78" t="n">
        <v>0</v>
      </c>
      <c r="E104" s="79" t="n">
        <v>0</v>
      </c>
      <c r="F104" s="63" t="n">
        <v>0</v>
      </c>
      <c r="G104" s="78" t="n">
        <v>0</v>
      </c>
      <c r="H104" s="78" t="n">
        <v>0</v>
      </c>
      <c r="I104" s="78" t="n">
        <v>0</v>
      </c>
      <c r="J104" s="78" t="n">
        <v>0</v>
      </c>
      <c r="K104" s="78" t="n">
        <v>0</v>
      </c>
      <c r="L104" s="78" t="n">
        <v>0</v>
      </c>
      <c r="M104" s="78" t="n">
        <v>0</v>
      </c>
      <c r="N104" s="78" t="n">
        <v>0</v>
      </c>
      <c r="O104" s="78" t="n">
        <v>0</v>
      </c>
      <c r="P104" s="80" t="n">
        <v>0</v>
      </c>
      <c r="Q104" s="72" t="n">
        <v>0</v>
      </c>
      <c r="R104" s="72" t="n">
        <v>0</v>
      </c>
      <c r="S104" s="73" t="n">
        <v>1</v>
      </c>
      <c r="T104" s="72" t="n">
        <v>0</v>
      </c>
      <c r="U104" s="72" t="n">
        <v>0</v>
      </c>
      <c r="V104" s="72" t="n">
        <v>0</v>
      </c>
      <c r="W104" s="72" t="n">
        <v>0</v>
      </c>
      <c r="X104" s="72" t="n">
        <v>0</v>
      </c>
      <c r="Y104" s="72" t="n">
        <v>0</v>
      </c>
      <c r="Z104" s="72" t="n">
        <v>0</v>
      </c>
      <c r="AA104" s="72" t="n">
        <v>0</v>
      </c>
      <c r="AB104" s="72" t="n">
        <v>0</v>
      </c>
      <c r="AC104" s="72" t="n">
        <v>0</v>
      </c>
      <c r="AD104" s="72" t="n">
        <v>0</v>
      </c>
      <c r="AE104" s="74" t="n">
        <v>0</v>
      </c>
      <c r="AF104" s="75" t="n">
        <v>0</v>
      </c>
      <c r="AG104" s="81"/>
      <c r="AH104" s="71"/>
    </row>
    <row r="105" customFormat="false" ht="15.75" hidden="false" customHeight="true" outlineLevel="0" collapsed="false">
      <c r="A105" s="76" t="n">
        <v>46038</v>
      </c>
      <c r="B105" s="76" t="s">
        <v>155</v>
      </c>
      <c r="C105" s="77" t="s">
        <v>46</v>
      </c>
      <c r="D105" s="78" t="n">
        <v>0</v>
      </c>
      <c r="E105" s="79" t="n">
        <v>3700</v>
      </c>
      <c r="F105" s="63" t="n">
        <v>0</v>
      </c>
      <c r="G105" s="78" t="n">
        <v>0</v>
      </c>
      <c r="H105" s="78" t="n">
        <v>0</v>
      </c>
      <c r="I105" s="78" t="n">
        <v>500</v>
      </c>
      <c r="J105" s="78" t="n">
        <v>0</v>
      </c>
      <c r="K105" s="78" t="n">
        <v>3200</v>
      </c>
      <c r="L105" s="78" t="n">
        <v>0</v>
      </c>
      <c r="M105" s="78" t="n">
        <v>0</v>
      </c>
      <c r="N105" s="78" t="n">
        <v>0</v>
      </c>
      <c r="O105" s="78" t="n">
        <v>0</v>
      </c>
      <c r="P105" s="80" t="n">
        <v>0</v>
      </c>
      <c r="Q105" s="72" t="n">
        <v>0</v>
      </c>
      <c r="R105" s="73" t="n">
        <v>3700</v>
      </c>
      <c r="S105" s="72" t="n">
        <v>0</v>
      </c>
      <c r="T105" s="72" t="n">
        <v>0</v>
      </c>
      <c r="U105" s="72" t="n">
        <v>0</v>
      </c>
      <c r="V105" s="72" t="n">
        <v>0</v>
      </c>
      <c r="W105" s="72" t="n">
        <v>0</v>
      </c>
      <c r="X105" s="72" t="n">
        <v>0</v>
      </c>
      <c r="Y105" s="72" t="n">
        <v>0</v>
      </c>
      <c r="Z105" s="72" t="n">
        <v>0</v>
      </c>
      <c r="AA105" s="72" t="n">
        <v>0</v>
      </c>
      <c r="AB105" s="72" t="n">
        <v>0</v>
      </c>
      <c r="AC105" s="72" t="n">
        <v>0</v>
      </c>
      <c r="AD105" s="72" t="n">
        <v>0</v>
      </c>
      <c r="AE105" s="74" t="n">
        <v>0</v>
      </c>
      <c r="AF105" s="75" t="n">
        <v>0</v>
      </c>
      <c r="AG105" s="81"/>
      <c r="AH105" s="71" t="s">
        <v>156</v>
      </c>
    </row>
    <row r="106" customFormat="false" ht="15.75" hidden="false" customHeight="true" outlineLevel="0" collapsed="false">
      <c r="A106" s="76" t="n">
        <v>46038</v>
      </c>
      <c r="B106" s="76" t="s">
        <v>157</v>
      </c>
      <c r="C106" s="77"/>
      <c r="D106" s="78" t="n">
        <v>0</v>
      </c>
      <c r="E106" s="79" t="n">
        <v>2000</v>
      </c>
      <c r="F106" s="63" t="n">
        <v>0</v>
      </c>
      <c r="G106" s="78" t="n">
        <v>0</v>
      </c>
      <c r="H106" s="78" t="n">
        <v>0</v>
      </c>
      <c r="I106" s="78" t="n">
        <v>0</v>
      </c>
      <c r="J106" s="78" t="n">
        <v>0</v>
      </c>
      <c r="K106" s="78" t="n">
        <v>2000</v>
      </c>
      <c r="L106" s="78" t="n">
        <v>0</v>
      </c>
      <c r="M106" s="78" t="n">
        <v>0</v>
      </c>
      <c r="N106" s="78" t="n">
        <v>0</v>
      </c>
      <c r="O106" s="78" t="n">
        <v>0</v>
      </c>
      <c r="P106" s="80" t="n">
        <v>0</v>
      </c>
      <c r="Q106" s="72" t="n">
        <v>0</v>
      </c>
      <c r="R106" s="72" t="n">
        <v>0</v>
      </c>
      <c r="S106" s="73" t="n">
        <v>800</v>
      </c>
      <c r="T106" s="72" t="n">
        <v>0</v>
      </c>
      <c r="U106" s="72" t="n">
        <v>0</v>
      </c>
      <c r="V106" s="72" t="n">
        <v>0</v>
      </c>
      <c r="W106" s="72" t="n">
        <v>0</v>
      </c>
      <c r="X106" s="72" t="n">
        <v>0</v>
      </c>
      <c r="Y106" s="72" t="n">
        <v>0</v>
      </c>
      <c r="Z106" s="72" t="n">
        <v>0</v>
      </c>
      <c r="AA106" s="72" t="n">
        <v>0</v>
      </c>
      <c r="AB106" s="72" t="n">
        <v>0</v>
      </c>
      <c r="AC106" s="72" t="n">
        <v>0</v>
      </c>
      <c r="AD106" s="72" t="n">
        <v>0</v>
      </c>
      <c r="AE106" s="74" t="n">
        <v>1200</v>
      </c>
      <c r="AF106" s="75" t="n">
        <v>0</v>
      </c>
      <c r="AG106" s="81" t="s">
        <v>111</v>
      </c>
      <c r="AH106" s="71" t="s">
        <v>158</v>
      </c>
    </row>
    <row r="107" customFormat="false" ht="15.75" hidden="false" customHeight="true" outlineLevel="0" collapsed="false">
      <c r="A107" s="76" t="n">
        <v>46038</v>
      </c>
      <c r="B107" s="76" t="s">
        <v>159</v>
      </c>
      <c r="C107" s="77" t="s">
        <v>46</v>
      </c>
      <c r="D107" s="78" t="n">
        <v>0</v>
      </c>
      <c r="E107" s="79" t="n">
        <v>6948</v>
      </c>
      <c r="F107" s="63" t="n">
        <v>0</v>
      </c>
      <c r="G107" s="78" t="n">
        <v>0</v>
      </c>
      <c r="H107" s="78" t="n">
        <v>3948</v>
      </c>
      <c r="I107" s="78" t="n">
        <v>0</v>
      </c>
      <c r="J107" s="78" t="n">
        <v>0</v>
      </c>
      <c r="K107" s="78" t="n">
        <v>3000</v>
      </c>
      <c r="L107" s="78" t="n">
        <v>0</v>
      </c>
      <c r="M107" s="78" t="n">
        <v>0</v>
      </c>
      <c r="N107" s="78" t="n">
        <v>0</v>
      </c>
      <c r="O107" s="78" t="n">
        <v>0</v>
      </c>
      <c r="P107" s="80" t="n">
        <v>0</v>
      </c>
      <c r="Q107" s="72" t="n">
        <v>0</v>
      </c>
      <c r="R107" s="73" t="n">
        <v>6948</v>
      </c>
      <c r="S107" s="72" t="n">
        <v>0</v>
      </c>
      <c r="T107" s="72" t="n">
        <v>0</v>
      </c>
      <c r="U107" s="72" t="n">
        <v>0</v>
      </c>
      <c r="V107" s="72" t="n">
        <v>0</v>
      </c>
      <c r="W107" s="72" t="n">
        <v>0</v>
      </c>
      <c r="X107" s="72" t="n">
        <v>0</v>
      </c>
      <c r="Y107" s="72" t="n">
        <v>0</v>
      </c>
      <c r="Z107" s="72" t="n">
        <v>0</v>
      </c>
      <c r="AA107" s="72" t="n">
        <v>0</v>
      </c>
      <c r="AB107" s="72" t="n">
        <v>0</v>
      </c>
      <c r="AC107" s="72" t="n">
        <v>0</v>
      </c>
      <c r="AD107" s="72" t="n">
        <v>0</v>
      </c>
      <c r="AE107" s="74" t="n">
        <v>0</v>
      </c>
      <c r="AF107" s="75" t="n">
        <v>0</v>
      </c>
      <c r="AG107" s="81"/>
      <c r="AH107" s="71" t="s">
        <v>160</v>
      </c>
    </row>
    <row r="108" customFormat="false" ht="15.75" hidden="false" customHeight="true" outlineLevel="0" collapsed="false">
      <c r="A108" s="76" t="n">
        <v>46041</v>
      </c>
      <c r="B108" s="76" t="s">
        <v>161</v>
      </c>
      <c r="C108" s="77" t="s">
        <v>46</v>
      </c>
      <c r="D108" s="78" t="n">
        <v>0</v>
      </c>
      <c r="E108" s="79" t="n">
        <v>1150</v>
      </c>
      <c r="F108" s="63" t="n">
        <v>0</v>
      </c>
      <c r="G108" s="78" t="n">
        <v>0</v>
      </c>
      <c r="H108" s="78" t="n">
        <v>0</v>
      </c>
      <c r="I108" s="78" t="n">
        <v>0</v>
      </c>
      <c r="J108" s="78" t="n">
        <v>0</v>
      </c>
      <c r="K108" s="78" t="n">
        <v>1150</v>
      </c>
      <c r="L108" s="78" t="n">
        <v>0</v>
      </c>
      <c r="M108" s="78" t="n">
        <v>0</v>
      </c>
      <c r="N108" s="78" t="n">
        <v>0</v>
      </c>
      <c r="O108" s="78" t="n">
        <v>0</v>
      </c>
      <c r="P108" s="80" t="n">
        <v>0</v>
      </c>
      <c r="Q108" s="72" t="n">
        <v>0</v>
      </c>
      <c r="R108" s="73" t="n">
        <v>1150</v>
      </c>
      <c r="S108" s="72" t="n">
        <v>0</v>
      </c>
      <c r="T108" s="72" t="n">
        <v>0</v>
      </c>
      <c r="U108" s="72" t="n">
        <v>0</v>
      </c>
      <c r="V108" s="72" t="n">
        <v>0</v>
      </c>
      <c r="W108" s="72" t="n">
        <v>0</v>
      </c>
      <c r="X108" s="72" t="n">
        <v>0</v>
      </c>
      <c r="Y108" s="72" t="n">
        <v>0</v>
      </c>
      <c r="Z108" s="72" t="n">
        <v>0</v>
      </c>
      <c r="AA108" s="72" t="n">
        <v>0</v>
      </c>
      <c r="AB108" s="72" t="n">
        <v>0</v>
      </c>
      <c r="AC108" s="72" t="n">
        <v>0</v>
      </c>
      <c r="AD108" s="72" t="n">
        <v>0</v>
      </c>
      <c r="AE108" s="74" t="n">
        <v>0</v>
      </c>
      <c r="AF108" s="75" t="n">
        <v>0</v>
      </c>
      <c r="AG108" s="81"/>
      <c r="AH108" s="71" t="s">
        <v>162</v>
      </c>
    </row>
    <row r="109" customFormat="false" ht="15.75" hidden="false" customHeight="true" outlineLevel="0" collapsed="false">
      <c r="A109" s="76" t="n">
        <v>46041</v>
      </c>
      <c r="B109" s="76" t="s">
        <v>163</v>
      </c>
      <c r="C109" s="77" t="s">
        <v>46</v>
      </c>
      <c r="D109" s="78" t="n">
        <v>600</v>
      </c>
      <c r="E109" s="79" t="n">
        <v>0</v>
      </c>
      <c r="F109" s="63" t="n">
        <v>0</v>
      </c>
      <c r="G109" s="78" t="n">
        <v>0</v>
      </c>
      <c r="H109" s="78" t="n">
        <v>0</v>
      </c>
      <c r="I109" s="78" t="n">
        <v>0</v>
      </c>
      <c r="J109" s="78" t="n">
        <v>0</v>
      </c>
      <c r="K109" s="78" t="n">
        <v>0</v>
      </c>
      <c r="L109" s="78" t="n">
        <v>0</v>
      </c>
      <c r="M109" s="78" t="n">
        <v>0</v>
      </c>
      <c r="N109" s="78" t="n">
        <v>0</v>
      </c>
      <c r="O109" s="78" t="n">
        <v>0</v>
      </c>
      <c r="P109" s="80" t="n">
        <v>0</v>
      </c>
      <c r="Q109" s="72" t="n">
        <v>0</v>
      </c>
      <c r="R109" s="73" t="n">
        <v>480</v>
      </c>
      <c r="S109" s="72" t="n">
        <v>0</v>
      </c>
      <c r="T109" s="72" t="n">
        <v>0</v>
      </c>
      <c r="U109" s="72" t="n">
        <v>0</v>
      </c>
      <c r="V109" s="72" t="n">
        <v>0</v>
      </c>
      <c r="W109" s="72" t="n">
        <v>0</v>
      </c>
      <c r="X109" s="72" t="n">
        <v>0</v>
      </c>
      <c r="Y109" s="72" t="n">
        <v>0</v>
      </c>
      <c r="Z109" s="72" t="n">
        <v>0</v>
      </c>
      <c r="AA109" s="72" t="n">
        <v>0</v>
      </c>
      <c r="AB109" s="72" t="n">
        <v>0</v>
      </c>
      <c r="AC109" s="72" t="n">
        <v>0</v>
      </c>
      <c r="AD109" s="72" t="n">
        <v>0</v>
      </c>
      <c r="AE109" s="74" t="n">
        <v>0</v>
      </c>
      <c r="AF109" s="75" t="n">
        <v>0</v>
      </c>
      <c r="AG109" s="81"/>
      <c r="AH109" s="71" t="s">
        <v>164</v>
      </c>
    </row>
    <row r="110" customFormat="false" ht="15.75" hidden="false" customHeight="true" outlineLevel="0" collapsed="false">
      <c r="A110" s="76" t="n">
        <v>46041</v>
      </c>
      <c r="B110" s="76" t="s">
        <v>163</v>
      </c>
      <c r="C110" s="77" t="s">
        <v>46</v>
      </c>
      <c r="D110" s="78" t="n">
        <v>0</v>
      </c>
      <c r="E110" s="79" t="n">
        <v>12252.15</v>
      </c>
      <c r="F110" s="63" t="n">
        <v>644.85</v>
      </c>
      <c r="G110" s="78" t="n">
        <v>0</v>
      </c>
      <c r="H110" s="78" t="n">
        <v>2997</v>
      </c>
      <c r="I110" s="78" t="n">
        <v>3200</v>
      </c>
      <c r="J110" s="78" t="n">
        <v>6000</v>
      </c>
      <c r="K110" s="78" t="n">
        <v>55.15</v>
      </c>
      <c r="L110" s="78" t="n">
        <v>0</v>
      </c>
      <c r="M110" s="78" t="n">
        <v>0</v>
      </c>
      <c r="N110" s="78" t="n">
        <v>0</v>
      </c>
      <c r="O110" s="78" t="n">
        <v>0</v>
      </c>
      <c r="P110" s="80" t="n">
        <v>0</v>
      </c>
      <c r="Q110" s="72" t="n">
        <v>0</v>
      </c>
      <c r="R110" s="72" t="n">
        <v>0</v>
      </c>
      <c r="S110" s="72" t="n">
        <v>0</v>
      </c>
      <c r="T110" s="72" t="n">
        <v>0</v>
      </c>
      <c r="U110" s="72" t="n">
        <v>0</v>
      </c>
      <c r="V110" s="73" t="n">
        <v>12252.2</v>
      </c>
      <c r="W110" s="72" t="n">
        <v>0</v>
      </c>
      <c r="X110" s="72" t="n">
        <v>0</v>
      </c>
      <c r="Y110" s="72" t="n">
        <v>0</v>
      </c>
      <c r="Z110" s="72" t="n">
        <v>0</v>
      </c>
      <c r="AA110" s="72" t="n">
        <v>0</v>
      </c>
      <c r="AB110" s="72" t="n">
        <v>0</v>
      </c>
      <c r="AC110" s="72" t="n">
        <v>0</v>
      </c>
      <c r="AD110" s="72" t="n">
        <v>0</v>
      </c>
      <c r="AE110" s="74" t="n">
        <v>0</v>
      </c>
      <c r="AF110" s="75" t="n">
        <v>0</v>
      </c>
      <c r="AG110" s="81" t="s">
        <v>165</v>
      </c>
      <c r="AH110" s="71"/>
    </row>
    <row r="111" customFormat="false" ht="15.75" hidden="false" customHeight="true" outlineLevel="0" collapsed="false">
      <c r="A111" s="76" t="n">
        <v>46041</v>
      </c>
      <c r="B111" s="76" t="s">
        <v>166</v>
      </c>
      <c r="C111" s="77"/>
      <c r="D111" s="78" t="n">
        <v>0</v>
      </c>
      <c r="E111" s="79" t="n">
        <v>500</v>
      </c>
      <c r="F111" s="63" t="n">
        <v>0</v>
      </c>
      <c r="G111" s="78" t="n">
        <v>0</v>
      </c>
      <c r="H111" s="78" t="n">
        <v>0</v>
      </c>
      <c r="I111" s="78" t="n">
        <v>0</v>
      </c>
      <c r="J111" s="78" t="n">
        <v>0</v>
      </c>
      <c r="K111" s="78" t="n">
        <v>0</v>
      </c>
      <c r="L111" s="78" t="n">
        <v>0</v>
      </c>
      <c r="M111" s="78" t="n">
        <v>0</v>
      </c>
      <c r="N111" s="78" t="n">
        <v>500</v>
      </c>
      <c r="O111" s="78" t="n">
        <v>0</v>
      </c>
      <c r="P111" s="80" t="n">
        <v>0</v>
      </c>
      <c r="Q111" s="72" t="n">
        <v>0</v>
      </c>
      <c r="R111" s="72" t="n">
        <v>0</v>
      </c>
      <c r="S111" s="72" t="n">
        <v>0</v>
      </c>
      <c r="T111" s="72" t="n">
        <v>0</v>
      </c>
      <c r="U111" s="72" t="n">
        <v>0</v>
      </c>
      <c r="V111" s="73" t="n">
        <v>500</v>
      </c>
      <c r="W111" s="72" t="n">
        <v>0</v>
      </c>
      <c r="X111" s="72" t="n">
        <v>0</v>
      </c>
      <c r="Y111" s="72" t="n">
        <v>0</v>
      </c>
      <c r="Z111" s="72" t="n">
        <v>0</v>
      </c>
      <c r="AA111" s="72" t="n">
        <v>0</v>
      </c>
      <c r="AB111" s="72" t="n">
        <v>0</v>
      </c>
      <c r="AC111" s="72" t="n">
        <v>0</v>
      </c>
      <c r="AD111" s="72" t="n">
        <v>0</v>
      </c>
      <c r="AE111" s="74" t="n">
        <v>0</v>
      </c>
      <c r="AF111" s="75" t="n">
        <v>0</v>
      </c>
      <c r="AG111" s="81"/>
      <c r="AH111" s="71"/>
      <c r="AI111" s="0" t="n">
        <v>0</v>
      </c>
    </row>
    <row r="112" customFormat="false" ht="15.75" hidden="false" customHeight="true" outlineLevel="0" collapsed="false">
      <c r="A112" s="76" t="n">
        <v>46041</v>
      </c>
      <c r="B112" s="76" t="s">
        <v>167</v>
      </c>
      <c r="C112" s="77" t="s">
        <v>46</v>
      </c>
      <c r="D112" s="78" t="n">
        <v>0</v>
      </c>
      <c r="E112" s="79" t="n">
        <v>1650</v>
      </c>
      <c r="F112" s="63" t="n">
        <v>0</v>
      </c>
      <c r="G112" s="78" t="n">
        <v>0</v>
      </c>
      <c r="H112" s="78" t="n">
        <v>0</v>
      </c>
      <c r="I112" s="78" t="n">
        <v>1450</v>
      </c>
      <c r="J112" s="78" t="n">
        <v>0</v>
      </c>
      <c r="K112" s="78" t="n">
        <v>200</v>
      </c>
      <c r="L112" s="78" t="n">
        <v>0</v>
      </c>
      <c r="M112" s="78" t="n">
        <v>0</v>
      </c>
      <c r="N112" s="78" t="n">
        <v>0</v>
      </c>
      <c r="O112" s="78" t="n">
        <v>0</v>
      </c>
      <c r="P112" s="80" t="n">
        <v>0</v>
      </c>
      <c r="Q112" s="72" t="n">
        <v>0</v>
      </c>
      <c r="R112" s="72" t="n">
        <v>0</v>
      </c>
      <c r="S112" s="73" t="n">
        <v>1650</v>
      </c>
      <c r="T112" s="72" t="n">
        <v>0</v>
      </c>
      <c r="U112" s="72" t="n">
        <v>0</v>
      </c>
      <c r="V112" s="72" t="n">
        <v>0</v>
      </c>
      <c r="W112" s="72" t="n">
        <v>0</v>
      </c>
      <c r="X112" s="72" t="n">
        <v>0</v>
      </c>
      <c r="Y112" s="72" t="n">
        <v>0</v>
      </c>
      <c r="Z112" s="72" t="n">
        <v>0</v>
      </c>
      <c r="AA112" s="72" t="n">
        <v>0</v>
      </c>
      <c r="AB112" s="72" t="n">
        <v>0</v>
      </c>
      <c r="AC112" s="72" t="n">
        <v>0</v>
      </c>
      <c r="AD112" s="72" t="n">
        <v>0</v>
      </c>
      <c r="AE112" s="74" t="n">
        <v>0</v>
      </c>
      <c r="AF112" s="75" t="n">
        <v>0</v>
      </c>
      <c r="AG112" s="81"/>
      <c r="AH112" s="71" t="s">
        <v>168</v>
      </c>
    </row>
    <row r="113" customFormat="false" ht="15.75" hidden="false" customHeight="true" outlineLevel="0" collapsed="false">
      <c r="A113" s="76" t="n">
        <v>46041</v>
      </c>
      <c r="B113" s="76" t="s">
        <v>169</v>
      </c>
      <c r="C113" s="77" t="s">
        <v>53</v>
      </c>
      <c r="D113" s="78" t="n">
        <v>0</v>
      </c>
      <c r="E113" s="79" t="n">
        <v>0</v>
      </c>
      <c r="F113" s="63" t="n">
        <v>0</v>
      </c>
      <c r="G113" s="78" t="n">
        <v>0</v>
      </c>
      <c r="H113" s="78" t="n">
        <v>0</v>
      </c>
      <c r="I113" s="78" t="n">
        <v>0</v>
      </c>
      <c r="J113" s="78" t="n">
        <v>0</v>
      </c>
      <c r="K113" s="78" t="n">
        <v>0</v>
      </c>
      <c r="L113" s="78" t="n">
        <v>0</v>
      </c>
      <c r="M113" s="78" t="n">
        <v>0</v>
      </c>
      <c r="N113" s="78" t="n">
        <v>0</v>
      </c>
      <c r="O113" s="78" t="n">
        <v>0</v>
      </c>
      <c r="P113" s="80" t="n">
        <v>0</v>
      </c>
      <c r="Q113" s="72" t="n">
        <v>0</v>
      </c>
      <c r="R113" s="72" t="n">
        <v>0</v>
      </c>
      <c r="S113" s="72" t="n">
        <v>0</v>
      </c>
      <c r="T113" s="73" t="n">
        <v>1036</v>
      </c>
      <c r="U113" s="72" t="n">
        <v>0</v>
      </c>
      <c r="V113" s="72" t="n">
        <v>0</v>
      </c>
      <c r="W113" s="72" t="n">
        <v>0</v>
      </c>
      <c r="X113" s="72" t="n">
        <v>0</v>
      </c>
      <c r="Y113" s="72" t="n">
        <v>0</v>
      </c>
      <c r="Z113" s="72" t="n">
        <v>0</v>
      </c>
      <c r="AA113" s="72" t="n">
        <v>0</v>
      </c>
      <c r="AB113" s="72" t="n">
        <v>0</v>
      </c>
      <c r="AC113" s="72" t="n">
        <v>0</v>
      </c>
      <c r="AD113" s="72" t="n">
        <v>0</v>
      </c>
      <c r="AE113" s="74" t="n">
        <v>0</v>
      </c>
      <c r="AF113" s="75" t="n">
        <v>0</v>
      </c>
      <c r="AG113" s="81"/>
      <c r="AH113" s="71"/>
    </row>
    <row r="114" customFormat="false" ht="15.75" hidden="false" customHeight="true" outlineLevel="0" collapsed="false">
      <c r="A114" s="76" t="n">
        <v>46041</v>
      </c>
      <c r="B114" s="76" t="s">
        <v>170</v>
      </c>
      <c r="C114" s="77" t="s">
        <v>48</v>
      </c>
      <c r="D114" s="78" t="n">
        <v>0</v>
      </c>
      <c r="E114" s="79" t="n">
        <v>0</v>
      </c>
      <c r="F114" s="63" t="n">
        <v>0</v>
      </c>
      <c r="G114" s="78" t="n">
        <v>0</v>
      </c>
      <c r="H114" s="78" t="n">
        <v>0</v>
      </c>
      <c r="I114" s="78" t="n">
        <v>0</v>
      </c>
      <c r="J114" s="78" t="n">
        <v>0</v>
      </c>
      <c r="K114" s="78" t="n">
        <v>0</v>
      </c>
      <c r="L114" s="78" t="n">
        <v>0</v>
      </c>
      <c r="M114" s="78" t="n">
        <v>0</v>
      </c>
      <c r="N114" s="78" t="n">
        <v>0</v>
      </c>
      <c r="O114" s="78" t="n">
        <v>0</v>
      </c>
      <c r="P114" s="80" t="n">
        <v>0</v>
      </c>
      <c r="Q114" s="72" t="n">
        <v>0</v>
      </c>
      <c r="R114" s="72" t="n">
        <v>0</v>
      </c>
      <c r="S114" s="72" t="n">
        <v>0</v>
      </c>
      <c r="T114" s="72" t="n">
        <v>0</v>
      </c>
      <c r="U114" s="72" t="n">
        <v>0</v>
      </c>
      <c r="V114" s="73" t="n">
        <v>120</v>
      </c>
      <c r="W114" s="72" t="n">
        <v>0</v>
      </c>
      <c r="X114" s="72" t="n">
        <v>0</v>
      </c>
      <c r="Y114" s="72" t="n">
        <v>0</v>
      </c>
      <c r="Z114" s="72" t="n">
        <v>0</v>
      </c>
      <c r="AA114" s="72" t="n">
        <v>0</v>
      </c>
      <c r="AB114" s="72" t="n">
        <v>0</v>
      </c>
      <c r="AC114" s="72" t="n">
        <v>0</v>
      </c>
      <c r="AD114" s="72" t="n">
        <v>0</v>
      </c>
      <c r="AE114" s="74" t="n">
        <v>0</v>
      </c>
      <c r="AF114" s="75" t="n">
        <v>0</v>
      </c>
      <c r="AG114" s="81"/>
      <c r="AH114" s="71"/>
    </row>
    <row r="115" customFormat="false" ht="15.75" hidden="false" customHeight="true" outlineLevel="0" collapsed="false">
      <c r="A115" s="76" t="n">
        <v>46041</v>
      </c>
      <c r="B115" s="76" t="s">
        <v>171</v>
      </c>
      <c r="C115" s="77" t="s">
        <v>48</v>
      </c>
      <c r="D115" s="78" t="n">
        <v>0</v>
      </c>
      <c r="E115" s="79" t="n">
        <v>0</v>
      </c>
      <c r="F115" s="63" t="n">
        <v>0</v>
      </c>
      <c r="G115" s="78" t="n">
        <v>0</v>
      </c>
      <c r="H115" s="78" t="n">
        <v>0</v>
      </c>
      <c r="I115" s="78" t="n">
        <v>0</v>
      </c>
      <c r="J115" s="78" t="n">
        <v>0</v>
      </c>
      <c r="K115" s="78" t="n">
        <v>0</v>
      </c>
      <c r="L115" s="78" t="n">
        <v>0</v>
      </c>
      <c r="M115" s="78" t="n">
        <v>0</v>
      </c>
      <c r="N115" s="78" t="n">
        <v>0</v>
      </c>
      <c r="O115" s="78" t="n">
        <v>0</v>
      </c>
      <c r="P115" s="80" t="n">
        <v>0</v>
      </c>
      <c r="Q115" s="72" t="n">
        <v>0</v>
      </c>
      <c r="R115" s="72" t="n">
        <v>0</v>
      </c>
      <c r="S115" s="72" t="n">
        <v>0</v>
      </c>
      <c r="T115" s="72" t="n">
        <v>0</v>
      </c>
      <c r="U115" s="72" t="n">
        <v>0</v>
      </c>
      <c r="V115" s="73" t="n">
        <v>150</v>
      </c>
      <c r="W115" s="72" t="n">
        <v>0</v>
      </c>
      <c r="X115" s="72" t="n">
        <v>0</v>
      </c>
      <c r="Y115" s="72" t="n">
        <v>0</v>
      </c>
      <c r="Z115" s="72" t="n">
        <v>0</v>
      </c>
      <c r="AA115" s="72" t="n">
        <v>0</v>
      </c>
      <c r="AB115" s="72" t="n">
        <v>0</v>
      </c>
      <c r="AC115" s="72" t="n">
        <v>0</v>
      </c>
      <c r="AD115" s="72" t="n">
        <v>0</v>
      </c>
      <c r="AE115" s="74" t="n">
        <v>0</v>
      </c>
      <c r="AF115" s="75" t="n">
        <v>0</v>
      </c>
      <c r="AG115" s="81"/>
      <c r="AH115" s="71"/>
    </row>
    <row r="116" customFormat="false" ht="15.75" hidden="false" customHeight="true" outlineLevel="0" collapsed="false">
      <c r="A116" s="76" t="n">
        <v>46041</v>
      </c>
      <c r="B116" s="76" t="s">
        <v>172</v>
      </c>
      <c r="C116" s="77" t="s">
        <v>53</v>
      </c>
      <c r="D116" s="78" t="n">
        <v>0</v>
      </c>
      <c r="E116" s="79" t="n">
        <v>0</v>
      </c>
      <c r="F116" s="63" t="n">
        <v>0</v>
      </c>
      <c r="G116" s="78" t="n">
        <v>0</v>
      </c>
      <c r="H116" s="78" t="n">
        <v>0</v>
      </c>
      <c r="I116" s="78" t="n">
        <v>0</v>
      </c>
      <c r="J116" s="78" t="n">
        <v>0</v>
      </c>
      <c r="K116" s="78" t="n">
        <v>0</v>
      </c>
      <c r="L116" s="78" t="n">
        <v>0</v>
      </c>
      <c r="M116" s="78" t="n">
        <v>0</v>
      </c>
      <c r="N116" s="78" t="n">
        <v>0</v>
      </c>
      <c r="O116" s="78" t="n">
        <v>0</v>
      </c>
      <c r="P116" s="80" t="n">
        <v>0</v>
      </c>
      <c r="Q116" s="72" t="n">
        <v>0</v>
      </c>
      <c r="R116" s="72" t="n">
        <v>0</v>
      </c>
      <c r="S116" s="72" t="n">
        <v>0</v>
      </c>
      <c r="T116" s="72" t="n">
        <v>0</v>
      </c>
      <c r="U116" s="72" t="n">
        <v>0</v>
      </c>
      <c r="V116" s="72" t="n">
        <v>0</v>
      </c>
      <c r="W116" s="72" t="n">
        <v>0</v>
      </c>
      <c r="X116" s="73" t="n">
        <v>1785.71</v>
      </c>
      <c r="Y116" s="72" t="n">
        <v>0</v>
      </c>
      <c r="Z116" s="72" t="n">
        <v>0</v>
      </c>
      <c r="AA116" s="72" t="n">
        <v>0</v>
      </c>
      <c r="AB116" s="72" t="n">
        <v>0</v>
      </c>
      <c r="AC116" s="72" t="n">
        <v>0</v>
      </c>
      <c r="AD116" s="72" t="n">
        <v>0</v>
      </c>
      <c r="AE116" s="74" t="n">
        <v>0</v>
      </c>
      <c r="AF116" s="75" t="n">
        <v>0</v>
      </c>
      <c r="AG116" s="81"/>
      <c r="AH116" s="71"/>
    </row>
    <row r="117" customFormat="false" ht="15.75" hidden="false" customHeight="true" outlineLevel="0" collapsed="false">
      <c r="A117" s="76" t="n">
        <v>46041</v>
      </c>
      <c r="B117" s="76" t="s">
        <v>173</v>
      </c>
      <c r="C117" s="77" t="s">
        <v>46</v>
      </c>
      <c r="D117" s="78" t="n">
        <v>0</v>
      </c>
      <c r="E117" s="79" t="n">
        <v>3948</v>
      </c>
      <c r="F117" s="63" t="n">
        <v>0</v>
      </c>
      <c r="G117" s="78" t="n">
        <v>0</v>
      </c>
      <c r="H117" s="78" t="n">
        <v>3948</v>
      </c>
      <c r="I117" s="78" t="n">
        <v>0</v>
      </c>
      <c r="J117" s="78" t="n">
        <v>0</v>
      </c>
      <c r="K117" s="78" t="n">
        <v>0</v>
      </c>
      <c r="L117" s="78" t="n">
        <v>0</v>
      </c>
      <c r="M117" s="78" t="n">
        <v>0</v>
      </c>
      <c r="N117" s="78" t="n">
        <v>0</v>
      </c>
      <c r="O117" s="78" t="n">
        <v>0</v>
      </c>
      <c r="P117" s="80" t="n">
        <v>0</v>
      </c>
      <c r="Q117" s="72" t="n">
        <v>0</v>
      </c>
      <c r="R117" s="72" t="n">
        <v>0</v>
      </c>
      <c r="S117" s="72" t="n">
        <v>0</v>
      </c>
      <c r="T117" s="72" t="n">
        <v>0</v>
      </c>
      <c r="U117" s="72" t="n">
        <v>0</v>
      </c>
      <c r="V117" s="72" t="n">
        <v>0</v>
      </c>
      <c r="W117" s="72" t="n">
        <v>0</v>
      </c>
      <c r="X117" s="72" t="n">
        <v>0</v>
      </c>
      <c r="Y117" s="72" t="n">
        <v>0</v>
      </c>
      <c r="Z117" s="72" t="n">
        <v>0</v>
      </c>
      <c r="AA117" s="72" t="n">
        <v>0</v>
      </c>
      <c r="AB117" s="72" t="n">
        <v>0</v>
      </c>
      <c r="AC117" s="72" t="n">
        <v>0</v>
      </c>
      <c r="AD117" s="72" t="n">
        <v>0</v>
      </c>
      <c r="AE117" s="74" t="n">
        <v>3948</v>
      </c>
      <c r="AF117" s="75" t="n">
        <v>0</v>
      </c>
      <c r="AG117" s="81" t="s">
        <v>111</v>
      </c>
      <c r="AH117" s="71"/>
    </row>
    <row r="118" customFormat="false" ht="15.75" hidden="false" customHeight="true" outlineLevel="0" collapsed="false">
      <c r="A118" s="76" t="n">
        <v>46042</v>
      </c>
      <c r="B118" s="76" t="s">
        <v>174</v>
      </c>
      <c r="C118" s="77" t="s">
        <v>46</v>
      </c>
      <c r="D118" s="78" t="n">
        <v>0</v>
      </c>
      <c r="E118" s="79" t="n">
        <v>6075</v>
      </c>
      <c r="F118" s="63" t="n">
        <v>2025</v>
      </c>
      <c r="G118" s="78" t="n">
        <v>0</v>
      </c>
      <c r="H118" s="78" t="n">
        <v>0</v>
      </c>
      <c r="I118" s="78" t="n">
        <v>0</v>
      </c>
      <c r="J118" s="78" t="n">
        <v>0</v>
      </c>
      <c r="K118" s="78" t="n">
        <v>6075</v>
      </c>
      <c r="L118" s="78" t="n">
        <v>0</v>
      </c>
      <c r="M118" s="78" t="n">
        <v>0</v>
      </c>
      <c r="N118" s="78" t="n">
        <v>0</v>
      </c>
      <c r="O118" s="78" t="n">
        <v>0</v>
      </c>
      <c r="P118" s="80" t="n">
        <v>0</v>
      </c>
      <c r="Q118" s="72" t="n">
        <v>0</v>
      </c>
      <c r="R118" s="72" t="n">
        <v>0</v>
      </c>
      <c r="S118" s="72" t="n">
        <v>0</v>
      </c>
      <c r="T118" s="72" t="n">
        <v>0</v>
      </c>
      <c r="U118" s="73" t="n">
        <v>4075</v>
      </c>
      <c r="V118" s="73" t="n">
        <v>2000</v>
      </c>
      <c r="W118" s="72" t="n">
        <v>0</v>
      </c>
      <c r="X118" s="72" t="n">
        <v>0</v>
      </c>
      <c r="Y118" s="72" t="n">
        <v>0</v>
      </c>
      <c r="Z118" s="72" t="n">
        <v>0</v>
      </c>
      <c r="AA118" s="72" t="n">
        <v>0</v>
      </c>
      <c r="AB118" s="72" t="n">
        <v>0</v>
      </c>
      <c r="AC118" s="72" t="n">
        <v>0</v>
      </c>
      <c r="AD118" s="72" t="n">
        <v>0</v>
      </c>
      <c r="AE118" s="74" t="n">
        <v>0</v>
      </c>
      <c r="AF118" s="75" t="n">
        <v>0</v>
      </c>
      <c r="AG118" s="81"/>
      <c r="AH118" s="71" t="s">
        <v>175</v>
      </c>
    </row>
    <row r="119" customFormat="false" ht="15.75" hidden="false" customHeight="true" outlineLevel="0" collapsed="false">
      <c r="A119" s="76" t="n">
        <v>46042</v>
      </c>
      <c r="B119" s="76" t="s">
        <v>78</v>
      </c>
      <c r="C119" s="77" t="s">
        <v>46</v>
      </c>
      <c r="D119" s="78" t="n">
        <v>600</v>
      </c>
      <c r="E119" s="79" t="n">
        <v>0</v>
      </c>
      <c r="F119" s="63" t="n">
        <v>0</v>
      </c>
      <c r="G119" s="78" t="n">
        <v>0</v>
      </c>
      <c r="H119" s="78" t="n">
        <v>0</v>
      </c>
      <c r="I119" s="78" t="n">
        <v>0</v>
      </c>
      <c r="J119" s="78" t="n">
        <v>0</v>
      </c>
      <c r="K119" s="78" t="n">
        <v>0</v>
      </c>
      <c r="L119" s="78" t="n">
        <v>0</v>
      </c>
      <c r="M119" s="78" t="n">
        <v>0</v>
      </c>
      <c r="N119" s="78" t="n">
        <v>0</v>
      </c>
      <c r="O119" s="78" t="n">
        <v>0</v>
      </c>
      <c r="P119" s="80" t="n">
        <v>0</v>
      </c>
      <c r="Q119" s="73" t="n">
        <v>480</v>
      </c>
      <c r="R119" s="72" t="n">
        <v>0</v>
      </c>
      <c r="S119" s="72" t="n">
        <v>0</v>
      </c>
      <c r="T119" s="72" t="n">
        <v>0</v>
      </c>
      <c r="U119" s="72" t="n">
        <v>0</v>
      </c>
      <c r="V119" s="72" t="n">
        <v>0</v>
      </c>
      <c r="W119" s="72" t="n">
        <v>0</v>
      </c>
      <c r="X119" s="72" t="n">
        <v>0</v>
      </c>
      <c r="Y119" s="72" t="n">
        <v>0</v>
      </c>
      <c r="Z119" s="72" t="n">
        <v>0</v>
      </c>
      <c r="AA119" s="72" t="n">
        <v>0</v>
      </c>
      <c r="AB119" s="72" t="n">
        <v>0</v>
      </c>
      <c r="AC119" s="72" t="n">
        <v>0</v>
      </c>
      <c r="AD119" s="72" t="n">
        <v>0</v>
      </c>
      <c r="AE119" s="74" t="n">
        <v>0</v>
      </c>
      <c r="AF119" s="75" t="n">
        <v>0</v>
      </c>
      <c r="AG119" s="81"/>
      <c r="AH119" s="71"/>
    </row>
    <row r="120" customFormat="false" ht="15.75" hidden="false" customHeight="true" outlineLevel="0" collapsed="false">
      <c r="A120" s="76" t="n">
        <v>46042</v>
      </c>
      <c r="B120" s="76" t="s">
        <v>78</v>
      </c>
      <c r="C120" s="77" t="s">
        <v>46</v>
      </c>
      <c r="D120" s="78" t="n">
        <v>0</v>
      </c>
      <c r="E120" s="79" t="n">
        <v>10900</v>
      </c>
      <c r="F120" s="63" t="n">
        <v>100</v>
      </c>
      <c r="G120" s="78" t="n">
        <v>400</v>
      </c>
      <c r="H120" s="78" t="n">
        <v>0</v>
      </c>
      <c r="I120" s="78" t="n">
        <v>1000</v>
      </c>
      <c r="J120" s="78" t="n">
        <v>5000</v>
      </c>
      <c r="K120" s="78" t="n">
        <v>4500</v>
      </c>
      <c r="L120" s="78" t="n">
        <v>0</v>
      </c>
      <c r="M120" s="78" t="n">
        <v>0</v>
      </c>
      <c r="N120" s="78" t="n">
        <v>0</v>
      </c>
      <c r="O120" s="78" t="n">
        <v>0</v>
      </c>
      <c r="P120" s="80" t="n">
        <v>0</v>
      </c>
      <c r="Q120" s="72" t="n">
        <v>0</v>
      </c>
      <c r="R120" s="72" t="n">
        <v>0</v>
      </c>
      <c r="S120" s="72" t="n">
        <v>0</v>
      </c>
      <c r="T120" s="72" t="n">
        <v>0</v>
      </c>
      <c r="U120" s="73" t="n">
        <v>5400</v>
      </c>
      <c r="V120" s="73" t="n">
        <v>5500</v>
      </c>
      <c r="W120" s="72" t="n">
        <v>0</v>
      </c>
      <c r="X120" s="72" t="n">
        <v>0</v>
      </c>
      <c r="Y120" s="72" t="n">
        <v>0</v>
      </c>
      <c r="Z120" s="72" t="n">
        <v>0</v>
      </c>
      <c r="AA120" s="72" t="n">
        <v>0</v>
      </c>
      <c r="AB120" s="72" t="n">
        <v>0</v>
      </c>
      <c r="AC120" s="72" t="n">
        <v>0</v>
      </c>
      <c r="AD120" s="72" t="n">
        <v>0</v>
      </c>
      <c r="AE120" s="74" t="n">
        <v>0</v>
      </c>
      <c r="AF120" s="75" t="n">
        <v>0</v>
      </c>
      <c r="AG120" s="81"/>
      <c r="AH120" s="71" t="s">
        <v>176</v>
      </c>
    </row>
    <row r="121" customFormat="false" ht="15.75" hidden="false" customHeight="true" outlineLevel="0" collapsed="false">
      <c r="A121" s="76" t="n">
        <v>46042</v>
      </c>
      <c r="B121" s="76" t="s">
        <v>177</v>
      </c>
      <c r="C121" s="77" t="s">
        <v>46</v>
      </c>
      <c r="D121" s="78" t="n">
        <v>0</v>
      </c>
      <c r="E121" s="79" t="n">
        <v>9000</v>
      </c>
      <c r="F121" s="63" t="n">
        <v>0</v>
      </c>
      <c r="G121" s="78" t="n">
        <v>0</v>
      </c>
      <c r="H121" s="78" t="n">
        <v>0</v>
      </c>
      <c r="I121" s="78" t="n">
        <v>0</v>
      </c>
      <c r="J121" s="78" t="n">
        <v>6000</v>
      </c>
      <c r="K121" s="78" t="n">
        <v>3000</v>
      </c>
      <c r="L121" s="78" t="n">
        <v>0</v>
      </c>
      <c r="M121" s="78" t="n">
        <v>0</v>
      </c>
      <c r="N121" s="78" t="n">
        <v>0</v>
      </c>
      <c r="O121" s="78" t="n">
        <v>0</v>
      </c>
      <c r="P121" s="80" t="n">
        <v>0</v>
      </c>
      <c r="Q121" s="72" t="n">
        <v>0</v>
      </c>
      <c r="R121" s="73" t="n">
        <v>9000</v>
      </c>
      <c r="S121" s="72" t="n">
        <v>0</v>
      </c>
      <c r="T121" s="72" t="n">
        <v>0</v>
      </c>
      <c r="U121" s="72" t="n">
        <v>0</v>
      </c>
      <c r="V121" s="72" t="n">
        <v>0</v>
      </c>
      <c r="W121" s="72" t="n">
        <v>0</v>
      </c>
      <c r="X121" s="72" t="n">
        <v>0</v>
      </c>
      <c r="Y121" s="72" t="n">
        <v>0</v>
      </c>
      <c r="Z121" s="72" t="n">
        <v>0</v>
      </c>
      <c r="AA121" s="72" t="n">
        <v>0</v>
      </c>
      <c r="AB121" s="72" t="n">
        <v>0</v>
      </c>
      <c r="AC121" s="72" t="n">
        <v>0</v>
      </c>
      <c r="AD121" s="72" t="n">
        <v>0</v>
      </c>
      <c r="AE121" s="74" t="n">
        <v>0</v>
      </c>
      <c r="AF121" s="75" t="n">
        <v>0</v>
      </c>
      <c r="AG121" s="81"/>
      <c r="AH121" s="71" t="s">
        <v>178</v>
      </c>
    </row>
    <row r="122" customFormat="false" ht="15.75" hidden="false" customHeight="true" outlineLevel="0" collapsed="false">
      <c r="A122" s="76" t="n">
        <v>46042</v>
      </c>
      <c r="B122" s="76" t="s">
        <v>47</v>
      </c>
      <c r="C122" s="77" t="s">
        <v>46</v>
      </c>
      <c r="D122" s="78" t="n">
        <v>600</v>
      </c>
      <c r="E122" s="79" t="n">
        <v>0</v>
      </c>
      <c r="F122" s="63" t="n">
        <v>0</v>
      </c>
      <c r="G122" s="78" t="n">
        <v>0</v>
      </c>
      <c r="H122" s="78" t="n">
        <v>0</v>
      </c>
      <c r="I122" s="78" t="n">
        <v>0</v>
      </c>
      <c r="J122" s="78" t="n">
        <v>0</v>
      </c>
      <c r="K122" s="78" t="n">
        <v>0</v>
      </c>
      <c r="L122" s="78" t="n">
        <v>0</v>
      </c>
      <c r="M122" s="78" t="n">
        <v>0</v>
      </c>
      <c r="N122" s="78" t="n">
        <v>0</v>
      </c>
      <c r="O122" s="78" t="n">
        <v>0</v>
      </c>
      <c r="P122" s="80" t="n">
        <v>0</v>
      </c>
      <c r="Q122" s="72" t="n">
        <v>0</v>
      </c>
      <c r="R122" s="72" t="n">
        <v>0</v>
      </c>
      <c r="S122" s="72" t="n">
        <v>0</v>
      </c>
      <c r="T122" s="72" t="n">
        <v>0</v>
      </c>
      <c r="U122" s="72" t="n">
        <v>0</v>
      </c>
      <c r="V122" s="73" t="n">
        <v>480</v>
      </c>
      <c r="W122" s="72" t="n">
        <v>0</v>
      </c>
      <c r="X122" s="72" t="n">
        <v>0</v>
      </c>
      <c r="Y122" s="72" t="n">
        <v>0</v>
      </c>
      <c r="Z122" s="72" t="n">
        <v>0</v>
      </c>
      <c r="AA122" s="72" t="n">
        <v>0</v>
      </c>
      <c r="AB122" s="72" t="n">
        <v>0</v>
      </c>
      <c r="AC122" s="72" t="n">
        <v>0</v>
      </c>
      <c r="AD122" s="72" t="n">
        <v>0</v>
      </c>
      <c r="AE122" s="74" t="n">
        <v>0</v>
      </c>
      <c r="AF122" s="75" t="n">
        <v>0</v>
      </c>
      <c r="AG122" s="81"/>
      <c r="AH122" s="71"/>
    </row>
    <row r="123" customFormat="false" ht="15.75" hidden="false" customHeight="true" outlineLevel="0" collapsed="false">
      <c r="A123" s="76" t="n">
        <v>46042</v>
      </c>
      <c r="B123" s="76" t="s">
        <v>47</v>
      </c>
      <c r="C123" s="77" t="s">
        <v>46</v>
      </c>
      <c r="D123" s="78" t="n">
        <v>0</v>
      </c>
      <c r="E123" s="79" t="n">
        <v>9700</v>
      </c>
      <c r="F123" s="63" t="n">
        <v>0</v>
      </c>
      <c r="G123" s="78" t="n">
        <v>500</v>
      </c>
      <c r="H123" s="78" t="n">
        <v>0</v>
      </c>
      <c r="I123" s="78" t="n">
        <v>3200</v>
      </c>
      <c r="J123" s="78" t="n">
        <v>6000</v>
      </c>
      <c r="K123" s="78" t="n">
        <v>0</v>
      </c>
      <c r="L123" s="78" t="n">
        <v>0</v>
      </c>
      <c r="M123" s="78" t="n">
        <v>0</v>
      </c>
      <c r="N123" s="78" t="n">
        <v>0</v>
      </c>
      <c r="O123" s="78" t="n">
        <v>0</v>
      </c>
      <c r="P123" s="80" t="n">
        <v>0</v>
      </c>
      <c r="Q123" s="72" t="n">
        <v>0</v>
      </c>
      <c r="R123" s="72" t="n">
        <v>0</v>
      </c>
      <c r="S123" s="72" t="n">
        <v>0</v>
      </c>
      <c r="T123" s="72" t="n">
        <v>0</v>
      </c>
      <c r="U123" s="73" t="n">
        <v>10282</v>
      </c>
      <c r="V123" s="72" t="n">
        <v>0</v>
      </c>
      <c r="W123" s="72" t="n">
        <v>0</v>
      </c>
      <c r="X123" s="72" t="n">
        <v>0</v>
      </c>
      <c r="Y123" s="72" t="n">
        <v>0</v>
      </c>
      <c r="Z123" s="72" t="n">
        <v>582</v>
      </c>
      <c r="AA123" s="72" t="n">
        <v>0</v>
      </c>
      <c r="AB123" s="72" t="n">
        <v>0</v>
      </c>
      <c r="AC123" s="72" t="n">
        <v>0</v>
      </c>
      <c r="AD123" s="72" t="n">
        <v>0</v>
      </c>
      <c r="AE123" s="74" t="n">
        <v>0</v>
      </c>
      <c r="AF123" s="75" t="n">
        <v>0</v>
      </c>
      <c r="AG123" s="81"/>
      <c r="AH123" s="71"/>
    </row>
    <row r="124" customFormat="false" ht="15.75" hidden="false" customHeight="true" outlineLevel="0" collapsed="false">
      <c r="A124" s="76" t="n">
        <v>46042</v>
      </c>
      <c r="B124" s="76" t="s">
        <v>157</v>
      </c>
      <c r="C124" s="77" t="s">
        <v>48</v>
      </c>
      <c r="D124" s="78" t="n">
        <v>0</v>
      </c>
      <c r="E124" s="79" t="n">
        <v>0</v>
      </c>
      <c r="F124" s="63" t="n">
        <v>0</v>
      </c>
      <c r="G124" s="78" t="n">
        <v>0</v>
      </c>
      <c r="H124" s="78" t="n">
        <v>0</v>
      </c>
      <c r="I124" s="78" t="n">
        <v>0</v>
      </c>
      <c r="J124" s="78" t="n">
        <v>0</v>
      </c>
      <c r="K124" s="78" t="n">
        <v>0</v>
      </c>
      <c r="L124" s="78" t="n">
        <v>0</v>
      </c>
      <c r="M124" s="78" t="n">
        <v>0</v>
      </c>
      <c r="N124" s="78" t="n">
        <v>0</v>
      </c>
      <c r="O124" s="78" t="n">
        <v>0</v>
      </c>
      <c r="P124" s="80" t="n">
        <v>0</v>
      </c>
      <c r="Q124" s="72" t="n">
        <v>0</v>
      </c>
      <c r="R124" s="72" t="n">
        <v>0</v>
      </c>
      <c r="S124" s="72" t="n">
        <v>0</v>
      </c>
      <c r="T124" s="73" t="n">
        <v>1200</v>
      </c>
      <c r="U124" s="72" t="n">
        <v>0</v>
      </c>
      <c r="V124" s="72" t="n">
        <v>0</v>
      </c>
      <c r="W124" s="72" t="n">
        <v>0</v>
      </c>
      <c r="X124" s="72" t="n">
        <v>0</v>
      </c>
      <c r="Y124" s="72" t="n">
        <v>0</v>
      </c>
      <c r="Z124" s="72" t="n">
        <v>0</v>
      </c>
      <c r="AA124" s="72" t="n">
        <v>0</v>
      </c>
      <c r="AB124" s="72" t="n">
        <v>0</v>
      </c>
      <c r="AC124" s="72" t="n">
        <v>0</v>
      </c>
      <c r="AD124" s="72" t="n">
        <v>0</v>
      </c>
      <c r="AE124" s="74" t="n">
        <v>0</v>
      </c>
      <c r="AF124" s="75" t="n">
        <v>0</v>
      </c>
      <c r="AG124" s="81" t="s">
        <v>179</v>
      </c>
      <c r="AH124" s="71"/>
    </row>
    <row r="125" customFormat="false" ht="15.75" hidden="false" customHeight="true" outlineLevel="0" collapsed="false">
      <c r="A125" s="76" t="n">
        <v>46042</v>
      </c>
      <c r="B125" s="76" t="s">
        <v>180</v>
      </c>
      <c r="C125" s="77" t="s">
        <v>46</v>
      </c>
      <c r="D125" s="78" t="n">
        <v>600</v>
      </c>
      <c r="E125" s="79" t="n">
        <v>0</v>
      </c>
      <c r="F125" s="63" t="n">
        <v>0</v>
      </c>
      <c r="G125" s="78" t="n">
        <v>0</v>
      </c>
      <c r="H125" s="78" t="n">
        <v>0</v>
      </c>
      <c r="I125" s="78" t="n">
        <v>0</v>
      </c>
      <c r="J125" s="78" t="n">
        <v>0</v>
      </c>
      <c r="K125" s="78" t="n">
        <v>0</v>
      </c>
      <c r="L125" s="78" t="n">
        <v>0</v>
      </c>
      <c r="M125" s="78" t="n">
        <v>0</v>
      </c>
      <c r="N125" s="78" t="n">
        <v>0</v>
      </c>
      <c r="O125" s="78" t="n">
        <v>0</v>
      </c>
      <c r="P125" s="80" t="n">
        <v>0</v>
      </c>
      <c r="Q125" s="72" t="n">
        <v>0</v>
      </c>
      <c r="R125" s="73" t="n">
        <v>480</v>
      </c>
      <c r="S125" s="72" t="n">
        <v>0</v>
      </c>
      <c r="T125" s="72" t="n">
        <v>0</v>
      </c>
      <c r="U125" s="72" t="n">
        <v>0</v>
      </c>
      <c r="V125" s="72" t="n">
        <v>0</v>
      </c>
      <c r="W125" s="72" t="n">
        <v>0</v>
      </c>
      <c r="X125" s="72" t="n">
        <v>0</v>
      </c>
      <c r="Y125" s="72" t="n">
        <v>0</v>
      </c>
      <c r="Z125" s="72" t="n">
        <v>0</v>
      </c>
      <c r="AA125" s="72" t="n">
        <v>0</v>
      </c>
      <c r="AB125" s="72" t="n">
        <v>0</v>
      </c>
      <c r="AC125" s="72" t="n">
        <v>0</v>
      </c>
      <c r="AD125" s="72" t="n">
        <v>0</v>
      </c>
      <c r="AE125" s="74" t="n">
        <v>0</v>
      </c>
      <c r="AF125" s="75" t="n">
        <v>0</v>
      </c>
      <c r="AG125" s="81"/>
      <c r="AH125" s="71" t="s">
        <v>181</v>
      </c>
    </row>
    <row r="126" customFormat="false" ht="15.75" hidden="false" customHeight="true" outlineLevel="0" collapsed="false">
      <c r="A126" s="76" t="n">
        <v>46042</v>
      </c>
      <c r="B126" s="76" t="s">
        <v>180</v>
      </c>
      <c r="C126" s="77" t="s">
        <v>46</v>
      </c>
      <c r="D126" s="78" t="n">
        <v>0</v>
      </c>
      <c r="E126" s="79" t="n">
        <v>10755</v>
      </c>
      <c r="F126" s="63" t="n">
        <v>740</v>
      </c>
      <c r="G126" s="78" t="n">
        <v>450</v>
      </c>
      <c r="H126" s="78" t="n">
        <v>0</v>
      </c>
      <c r="I126" s="78" t="n">
        <v>3555</v>
      </c>
      <c r="J126" s="78" t="n">
        <v>5400</v>
      </c>
      <c r="K126" s="78" t="n">
        <v>1350</v>
      </c>
      <c r="L126" s="78" t="n">
        <v>0</v>
      </c>
      <c r="M126" s="78" t="n">
        <v>0</v>
      </c>
      <c r="N126" s="78" t="n">
        <v>0</v>
      </c>
      <c r="O126" s="78" t="n">
        <v>0</v>
      </c>
      <c r="P126" s="80" t="n">
        <v>0</v>
      </c>
      <c r="Q126" s="72" t="n">
        <v>0</v>
      </c>
      <c r="R126" s="73" t="n">
        <v>10755</v>
      </c>
      <c r="S126" s="72" t="n">
        <v>0</v>
      </c>
      <c r="T126" s="72" t="n">
        <v>0</v>
      </c>
      <c r="U126" s="72" t="n">
        <v>0</v>
      </c>
      <c r="V126" s="72" t="n">
        <v>0</v>
      </c>
      <c r="W126" s="72" t="n">
        <v>0</v>
      </c>
      <c r="X126" s="72" t="n">
        <v>0</v>
      </c>
      <c r="Y126" s="72" t="n">
        <v>0</v>
      </c>
      <c r="Z126" s="72" t="n">
        <v>0</v>
      </c>
      <c r="AA126" s="72" t="n">
        <v>0</v>
      </c>
      <c r="AB126" s="72" t="n">
        <v>0</v>
      </c>
      <c r="AC126" s="72" t="n">
        <v>0</v>
      </c>
      <c r="AD126" s="72" t="n">
        <v>0</v>
      </c>
      <c r="AE126" s="74" t="n">
        <v>0</v>
      </c>
      <c r="AF126" s="75" t="n">
        <v>0</v>
      </c>
      <c r="AG126" s="81"/>
      <c r="AH126" s="71" t="s">
        <v>181</v>
      </c>
    </row>
    <row r="127" customFormat="false" ht="15.75" hidden="false" customHeight="true" outlineLevel="0" collapsed="false">
      <c r="A127" s="76" t="n">
        <v>46042</v>
      </c>
      <c r="B127" s="76" t="s">
        <v>182</v>
      </c>
      <c r="C127" s="77" t="s">
        <v>48</v>
      </c>
      <c r="D127" s="78" t="n">
        <v>0</v>
      </c>
      <c r="E127" s="79" t="n">
        <v>0</v>
      </c>
      <c r="F127" s="63" t="n">
        <v>0</v>
      </c>
      <c r="G127" s="78" t="n">
        <v>0</v>
      </c>
      <c r="H127" s="78" t="n">
        <v>0</v>
      </c>
      <c r="I127" s="78" t="n">
        <v>0</v>
      </c>
      <c r="J127" s="78" t="n">
        <v>0</v>
      </c>
      <c r="K127" s="78" t="n">
        <v>0</v>
      </c>
      <c r="L127" s="78" t="n">
        <v>0</v>
      </c>
      <c r="M127" s="78" t="n">
        <v>0</v>
      </c>
      <c r="N127" s="78" t="n">
        <v>0</v>
      </c>
      <c r="O127" s="78" t="n">
        <v>0</v>
      </c>
      <c r="P127" s="80" t="n">
        <v>0</v>
      </c>
      <c r="Q127" s="72" t="n">
        <v>0</v>
      </c>
      <c r="R127" s="72" t="n">
        <v>0</v>
      </c>
      <c r="S127" s="72" t="n">
        <v>0</v>
      </c>
      <c r="T127" s="72" t="n">
        <v>0</v>
      </c>
      <c r="U127" s="72" t="n">
        <v>0</v>
      </c>
      <c r="V127" s="73" t="n">
        <v>120</v>
      </c>
      <c r="W127" s="72" t="n">
        <v>0</v>
      </c>
      <c r="X127" s="72" t="n">
        <v>0</v>
      </c>
      <c r="Y127" s="72" t="n">
        <v>0</v>
      </c>
      <c r="Z127" s="72" t="n">
        <v>0</v>
      </c>
      <c r="AA127" s="72" t="n">
        <v>0</v>
      </c>
      <c r="AB127" s="72" t="n">
        <v>0</v>
      </c>
      <c r="AC127" s="72" t="n">
        <v>0</v>
      </c>
      <c r="AD127" s="72" t="n">
        <v>0</v>
      </c>
      <c r="AE127" s="74" t="n">
        <v>0</v>
      </c>
      <c r="AF127" s="75" t="n">
        <v>0</v>
      </c>
      <c r="AG127" s="81"/>
      <c r="AH127" s="71"/>
    </row>
    <row r="128" customFormat="false" ht="15.75" hidden="false" customHeight="true" outlineLevel="0" collapsed="false">
      <c r="A128" s="76" t="n">
        <v>46042</v>
      </c>
      <c r="B128" s="76" t="s">
        <v>183</v>
      </c>
      <c r="C128" s="77" t="s">
        <v>53</v>
      </c>
      <c r="D128" s="78" t="n">
        <v>0</v>
      </c>
      <c r="E128" s="79" t="n">
        <v>0</v>
      </c>
      <c r="F128" s="63" t="n">
        <v>0</v>
      </c>
      <c r="G128" s="78" t="n">
        <v>0</v>
      </c>
      <c r="H128" s="78" t="n">
        <v>0</v>
      </c>
      <c r="I128" s="78" t="n">
        <v>0</v>
      </c>
      <c r="J128" s="78" t="n">
        <v>0</v>
      </c>
      <c r="K128" s="78" t="n">
        <v>0</v>
      </c>
      <c r="L128" s="78" t="n">
        <v>0</v>
      </c>
      <c r="M128" s="78" t="n">
        <v>0</v>
      </c>
      <c r="N128" s="78" t="n">
        <v>0</v>
      </c>
      <c r="O128" s="78" t="n">
        <v>0</v>
      </c>
      <c r="P128" s="80" t="n">
        <v>0</v>
      </c>
      <c r="Q128" s="72" t="n">
        <v>0</v>
      </c>
      <c r="R128" s="72" t="n">
        <v>0</v>
      </c>
      <c r="S128" s="72" t="n">
        <v>0</v>
      </c>
      <c r="T128" s="72" t="n">
        <v>0</v>
      </c>
      <c r="U128" s="72" t="n">
        <v>0</v>
      </c>
      <c r="V128" s="72" t="n">
        <v>0</v>
      </c>
      <c r="W128" s="72" t="n">
        <v>0</v>
      </c>
      <c r="X128" s="73" t="n">
        <v>785.71</v>
      </c>
      <c r="Y128" s="72" t="n">
        <v>0</v>
      </c>
      <c r="Z128" s="72" t="n">
        <v>0</v>
      </c>
      <c r="AA128" s="72" t="n">
        <v>0</v>
      </c>
      <c r="AB128" s="72" t="n">
        <v>0</v>
      </c>
      <c r="AC128" s="72" t="n">
        <v>0</v>
      </c>
      <c r="AD128" s="72" t="n">
        <v>0</v>
      </c>
      <c r="AE128" s="74" t="n">
        <v>0</v>
      </c>
      <c r="AF128" s="75" t="n">
        <v>0</v>
      </c>
      <c r="AG128" s="81"/>
      <c r="AH128" s="71"/>
    </row>
    <row r="129" customFormat="false" ht="15.75" hidden="false" customHeight="true" outlineLevel="0" collapsed="false">
      <c r="A129" s="76" t="n">
        <v>46042</v>
      </c>
      <c r="B129" s="76" t="s">
        <v>184</v>
      </c>
      <c r="C129" s="77" t="s">
        <v>53</v>
      </c>
      <c r="D129" s="78" t="n">
        <v>0</v>
      </c>
      <c r="E129" s="79" t="n">
        <v>0</v>
      </c>
      <c r="F129" s="63" t="n">
        <v>0</v>
      </c>
      <c r="G129" s="78" t="n">
        <v>0</v>
      </c>
      <c r="H129" s="78" t="n">
        <v>0</v>
      </c>
      <c r="I129" s="78" t="n">
        <v>0</v>
      </c>
      <c r="J129" s="78" t="n">
        <v>0</v>
      </c>
      <c r="K129" s="78" t="n">
        <v>0</v>
      </c>
      <c r="L129" s="78" t="n">
        <v>0</v>
      </c>
      <c r="M129" s="78" t="n">
        <v>0</v>
      </c>
      <c r="N129" s="78" t="n">
        <v>0</v>
      </c>
      <c r="O129" s="78" t="n">
        <v>0</v>
      </c>
      <c r="P129" s="80" t="n">
        <v>0</v>
      </c>
      <c r="Q129" s="72" t="n">
        <v>0</v>
      </c>
      <c r="R129" s="72" t="n">
        <v>0</v>
      </c>
      <c r="S129" s="72" t="n">
        <v>0</v>
      </c>
      <c r="T129" s="72" t="n">
        <v>0</v>
      </c>
      <c r="U129" s="72" t="n">
        <v>0</v>
      </c>
      <c r="V129" s="72" t="n">
        <v>0</v>
      </c>
      <c r="W129" s="72" t="n">
        <v>0</v>
      </c>
      <c r="X129" s="73" t="n">
        <v>300</v>
      </c>
      <c r="Y129" s="72" t="n">
        <v>0</v>
      </c>
      <c r="Z129" s="72" t="n">
        <v>0</v>
      </c>
      <c r="AA129" s="72" t="n">
        <v>0</v>
      </c>
      <c r="AB129" s="72" t="n">
        <v>0</v>
      </c>
      <c r="AC129" s="72" t="n">
        <v>0</v>
      </c>
      <c r="AD129" s="72" t="n">
        <v>0</v>
      </c>
      <c r="AE129" s="74" t="n">
        <v>0</v>
      </c>
      <c r="AF129" s="75" t="n">
        <v>0</v>
      </c>
      <c r="AG129" s="81" t="s">
        <v>185</v>
      </c>
      <c r="AH129" s="71"/>
    </row>
    <row r="130" customFormat="false" ht="15.75" hidden="false" customHeight="true" outlineLevel="0" collapsed="false">
      <c r="A130" s="76" t="n">
        <v>46043</v>
      </c>
      <c r="B130" s="76" t="s">
        <v>186</v>
      </c>
      <c r="C130" s="77" t="s">
        <v>46</v>
      </c>
      <c r="D130" s="78" t="n">
        <v>0</v>
      </c>
      <c r="E130" s="79" t="n">
        <v>1500</v>
      </c>
      <c r="F130" s="63" t="n">
        <v>0</v>
      </c>
      <c r="G130" s="78" t="n">
        <v>0</v>
      </c>
      <c r="H130" s="78" t="n">
        <v>0</v>
      </c>
      <c r="I130" s="78" t="n">
        <v>0</v>
      </c>
      <c r="J130" s="78" t="n">
        <v>0</v>
      </c>
      <c r="K130" s="78" t="n">
        <v>1500</v>
      </c>
      <c r="L130" s="78" t="n">
        <v>0</v>
      </c>
      <c r="M130" s="78" t="n">
        <v>0</v>
      </c>
      <c r="N130" s="78" t="n">
        <v>0</v>
      </c>
      <c r="O130" s="78" t="n">
        <v>0</v>
      </c>
      <c r="P130" s="80" t="n">
        <v>0</v>
      </c>
      <c r="Q130" s="72" t="n">
        <v>0</v>
      </c>
      <c r="R130" s="73" t="n">
        <v>1500</v>
      </c>
      <c r="S130" s="72" t="n">
        <v>0</v>
      </c>
      <c r="T130" s="72" t="n">
        <v>0</v>
      </c>
      <c r="U130" s="72" t="n">
        <v>0</v>
      </c>
      <c r="V130" s="72" t="n">
        <v>0</v>
      </c>
      <c r="W130" s="72" t="n">
        <v>0</v>
      </c>
      <c r="X130" s="72" t="n">
        <v>0</v>
      </c>
      <c r="Y130" s="72" t="n">
        <v>0</v>
      </c>
      <c r="Z130" s="72" t="n">
        <v>0</v>
      </c>
      <c r="AA130" s="72" t="n">
        <v>0</v>
      </c>
      <c r="AB130" s="72" t="n">
        <v>0</v>
      </c>
      <c r="AC130" s="72" t="n">
        <v>0</v>
      </c>
      <c r="AD130" s="72" t="n">
        <v>0</v>
      </c>
      <c r="AE130" s="74" t="n">
        <v>0</v>
      </c>
      <c r="AF130" s="75" t="n">
        <v>0</v>
      </c>
      <c r="AG130" s="81"/>
      <c r="AH130" s="71" t="s">
        <v>187</v>
      </c>
    </row>
    <row r="131" customFormat="false" ht="15.75" hidden="false" customHeight="true" outlineLevel="0" collapsed="false">
      <c r="A131" s="76" t="n">
        <v>46043</v>
      </c>
      <c r="B131" s="76" t="s">
        <v>188</v>
      </c>
      <c r="C131" s="77" t="s">
        <v>46</v>
      </c>
      <c r="D131" s="78" t="n">
        <v>0</v>
      </c>
      <c r="E131" s="79" t="n">
        <v>3960</v>
      </c>
      <c r="F131" s="63" t="n">
        <v>0</v>
      </c>
      <c r="G131" s="78" t="n">
        <v>0</v>
      </c>
      <c r="H131" s="78" t="n">
        <v>0</v>
      </c>
      <c r="I131" s="78" t="n">
        <v>1600</v>
      </c>
      <c r="J131" s="78" t="n">
        <v>0</v>
      </c>
      <c r="K131" s="78" t="n">
        <v>2360</v>
      </c>
      <c r="L131" s="78" t="n">
        <v>0</v>
      </c>
      <c r="M131" s="78" t="n">
        <v>0</v>
      </c>
      <c r="N131" s="78" t="n">
        <v>0</v>
      </c>
      <c r="O131" s="78" t="n">
        <v>0</v>
      </c>
      <c r="P131" s="80" t="n">
        <v>0</v>
      </c>
      <c r="Q131" s="72" t="n">
        <v>0</v>
      </c>
      <c r="R131" s="73" t="n">
        <v>3960</v>
      </c>
      <c r="S131" s="72" t="n">
        <v>0</v>
      </c>
      <c r="T131" s="72" t="n">
        <v>0</v>
      </c>
      <c r="U131" s="72" t="n">
        <v>0</v>
      </c>
      <c r="V131" s="72" t="n">
        <v>0</v>
      </c>
      <c r="W131" s="72" t="n">
        <v>0</v>
      </c>
      <c r="X131" s="72" t="n">
        <v>0</v>
      </c>
      <c r="Y131" s="72" t="n">
        <v>0</v>
      </c>
      <c r="Z131" s="72" t="n">
        <v>0</v>
      </c>
      <c r="AA131" s="72" t="n">
        <v>0</v>
      </c>
      <c r="AB131" s="72" t="n">
        <v>0</v>
      </c>
      <c r="AC131" s="72" t="n">
        <v>0</v>
      </c>
      <c r="AD131" s="72" t="n">
        <v>0</v>
      </c>
      <c r="AE131" s="74" t="n">
        <v>0</v>
      </c>
      <c r="AF131" s="75" t="n">
        <v>0</v>
      </c>
      <c r="AG131" s="81"/>
      <c r="AH131" s="71" t="s">
        <v>189</v>
      </c>
    </row>
    <row r="132" customFormat="false" ht="15.75" hidden="false" customHeight="true" outlineLevel="0" collapsed="false">
      <c r="A132" s="76" t="n">
        <v>46043</v>
      </c>
      <c r="B132" s="76" t="s">
        <v>169</v>
      </c>
      <c r="C132" s="77" t="s">
        <v>53</v>
      </c>
      <c r="D132" s="78" t="n">
        <v>0</v>
      </c>
      <c r="E132" s="79" t="n">
        <v>0</v>
      </c>
      <c r="F132" s="63" t="n">
        <v>0</v>
      </c>
      <c r="G132" s="78" t="n">
        <v>0</v>
      </c>
      <c r="H132" s="78" t="n">
        <v>0</v>
      </c>
      <c r="I132" s="78" t="n">
        <v>0</v>
      </c>
      <c r="J132" s="78" t="n">
        <v>0</v>
      </c>
      <c r="K132" s="78" t="n">
        <v>0</v>
      </c>
      <c r="L132" s="78" t="n">
        <v>0</v>
      </c>
      <c r="M132" s="78" t="n">
        <v>0</v>
      </c>
      <c r="N132" s="78" t="n">
        <v>0</v>
      </c>
      <c r="O132" s="78" t="n">
        <v>0</v>
      </c>
      <c r="P132" s="80" t="n">
        <v>0</v>
      </c>
      <c r="Q132" s="72" t="n">
        <v>0</v>
      </c>
      <c r="R132" s="72" t="n">
        <v>0</v>
      </c>
      <c r="S132" s="72" t="n">
        <v>0</v>
      </c>
      <c r="T132" s="73" t="n">
        <v>1066</v>
      </c>
      <c r="U132" s="72" t="n">
        <v>0</v>
      </c>
      <c r="V132" s="72" t="n">
        <v>0</v>
      </c>
      <c r="W132" s="72" t="n">
        <v>0</v>
      </c>
      <c r="X132" s="72" t="n">
        <v>0</v>
      </c>
      <c r="Y132" s="72" t="n">
        <v>0</v>
      </c>
      <c r="Z132" s="72" t="n">
        <v>0</v>
      </c>
      <c r="AA132" s="72" t="n">
        <v>0</v>
      </c>
      <c r="AB132" s="72" t="n">
        <v>0</v>
      </c>
      <c r="AC132" s="72" t="n">
        <v>0</v>
      </c>
      <c r="AD132" s="72" t="n">
        <v>0</v>
      </c>
      <c r="AE132" s="74" t="n">
        <v>0</v>
      </c>
      <c r="AF132" s="75" t="n">
        <v>0</v>
      </c>
      <c r="AG132" s="81"/>
      <c r="AH132" s="71"/>
    </row>
    <row r="133" customFormat="false" ht="15.75" hidden="false" customHeight="true" outlineLevel="0" collapsed="false">
      <c r="A133" s="76" t="n">
        <v>46043</v>
      </c>
      <c r="B133" s="76" t="s">
        <v>190</v>
      </c>
      <c r="C133" s="77" t="s">
        <v>46</v>
      </c>
      <c r="D133" s="78" t="n">
        <v>600</v>
      </c>
      <c r="E133" s="79" t="n">
        <v>0</v>
      </c>
      <c r="F133" s="63" t="n">
        <v>0</v>
      </c>
      <c r="G133" s="78" t="n">
        <v>0</v>
      </c>
      <c r="H133" s="78" t="n">
        <v>0</v>
      </c>
      <c r="I133" s="78" t="n">
        <v>0</v>
      </c>
      <c r="J133" s="78" t="n">
        <v>0</v>
      </c>
      <c r="K133" s="78" t="n">
        <v>0</v>
      </c>
      <c r="L133" s="78" t="n">
        <v>0</v>
      </c>
      <c r="M133" s="78" t="n">
        <v>0</v>
      </c>
      <c r="N133" s="78" t="n">
        <v>0</v>
      </c>
      <c r="O133" s="78" t="n">
        <v>0</v>
      </c>
      <c r="P133" s="80" t="n">
        <v>0</v>
      </c>
      <c r="Q133" s="72" t="n">
        <v>0</v>
      </c>
      <c r="R133" s="73" t="n">
        <v>600</v>
      </c>
      <c r="S133" s="72" t="n">
        <v>0</v>
      </c>
      <c r="T133" s="72" t="n">
        <v>0</v>
      </c>
      <c r="U133" s="72" t="n">
        <v>0</v>
      </c>
      <c r="V133" s="72" t="n">
        <v>0</v>
      </c>
      <c r="W133" s="72" t="n">
        <v>0</v>
      </c>
      <c r="X133" s="72" t="n">
        <v>0</v>
      </c>
      <c r="Y133" s="72" t="n">
        <v>0</v>
      </c>
      <c r="Z133" s="72" t="n">
        <v>0</v>
      </c>
      <c r="AA133" s="72" t="n">
        <v>0</v>
      </c>
      <c r="AB133" s="72" t="n">
        <v>0</v>
      </c>
      <c r="AC133" s="72" t="n">
        <v>0</v>
      </c>
      <c r="AD133" s="72" t="n">
        <v>0</v>
      </c>
      <c r="AE133" s="74" t="n">
        <v>0</v>
      </c>
      <c r="AF133" s="75" t="n">
        <v>0</v>
      </c>
      <c r="AG133" s="81"/>
      <c r="AH133" s="71" t="s">
        <v>191</v>
      </c>
    </row>
    <row r="134" customFormat="false" ht="15.75" hidden="false" customHeight="true" outlineLevel="0" collapsed="false">
      <c r="A134" s="76" t="n">
        <v>46043</v>
      </c>
      <c r="B134" s="76" t="s">
        <v>190</v>
      </c>
      <c r="C134" s="77" t="s">
        <v>46</v>
      </c>
      <c r="D134" s="78" t="n">
        <v>0</v>
      </c>
      <c r="E134" s="79" t="n">
        <v>8405.6</v>
      </c>
      <c r="F134" s="63" t="n">
        <v>442.4</v>
      </c>
      <c r="G134" s="78" t="n">
        <v>0</v>
      </c>
      <c r="H134" s="78" t="n">
        <v>4130.6</v>
      </c>
      <c r="I134" s="78" t="n">
        <v>0</v>
      </c>
      <c r="J134" s="78" t="n">
        <v>4275</v>
      </c>
      <c r="K134" s="78" t="n">
        <v>0</v>
      </c>
      <c r="L134" s="78" t="n">
        <v>0</v>
      </c>
      <c r="M134" s="78" t="n">
        <v>0</v>
      </c>
      <c r="N134" s="78" t="n">
        <v>0</v>
      </c>
      <c r="O134" s="78" t="n">
        <v>0</v>
      </c>
      <c r="P134" s="80" t="n">
        <v>0</v>
      </c>
      <c r="Q134" s="72" t="n">
        <v>0</v>
      </c>
      <c r="R134" s="73" t="n">
        <v>4000</v>
      </c>
      <c r="S134" s="72" t="n">
        <v>0</v>
      </c>
      <c r="T134" s="72" t="n">
        <v>0</v>
      </c>
      <c r="U134" s="72" t="n">
        <v>0</v>
      </c>
      <c r="V134" s="72" t="n">
        <v>0</v>
      </c>
      <c r="W134" s="72" t="n">
        <v>4405.6</v>
      </c>
      <c r="X134" s="72" t="n">
        <v>0</v>
      </c>
      <c r="Y134" s="72" t="n">
        <v>0</v>
      </c>
      <c r="Z134" s="72" t="n">
        <v>0</v>
      </c>
      <c r="AA134" s="72" t="n">
        <v>0</v>
      </c>
      <c r="AB134" s="72" t="n">
        <v>0</v>
      </c>
      <c r="AC134" s="72" t="n">
        <v>0</v>
      </c>
      <c r="AD134" s="72" t="n">
        <v>0</v>
      </c>
      <c r="AE134" s="74" t="n">
        <v>0</v>
      </c>
      <c r="AF134" s="75" t="n">
        <v>0</v>
      </c>
      <c r="AG134" s="81"/>
      <c r="AH134" s="71" t="s">
        <v>191</v>
      </c>
    </row>
    <row r="135" customFormat="false" ht="15.75" hidden="false" customHeight="true" outlineLevel="0" collapsed="false">
      <c r="A135" s="76" t="n">
        <v>46043</v>
      </c>
      <c r="B135" s="76" t="s">
        <v>115</v>
      </c>
      <c r="C135" s="77" t="s">
        <v>53</v>
      </c>
      <c r="D135" s="78" t="n">
        <v>0</v>
      </c>
      <c r="E135" s="79" t="n">
        <v>0</v>
      </c>
      <c r="F135" s="63" t="n">
        <v>0</v>
      </c>
      <c r="G135" s="78" t="n">
        <v>0</v>
      </c>
      <c r="H135" s="78" t="n">
        <v>0</v>
      </c>
      <c r="I135" s="78" t="n">
        <v>0</v>
      </c>
      <c r="J135" s="78" t="n">
        <v>0</v>
      </c>
      <c r="K135" s="78" t="n">
        <v>0</v>
      </c>
      <c r="L135" s="78" t="n">
        <v>0</v>
      </c>
      <c r="M135" s="78" t="n">
        <v>0</v>
      </c>
      <c r="N135" s="78" t="n">
        <v>0</v>
      </c>
      <c r="O135" s="78" t="n">
        <v>0</v>
      </c>
      <c r="P135" s="80" t="n">
        <v>0</v>
      </c>
      <c r="Q135" s="72" t="n">
        <v>0</v>
      </c>
      <c r="R135" s="72" t="n">
        <v>0</v>
      </c>
      <c r="S135" s="72" t="n">
        <v>0</v>
      </c>
      <c r="T135" s="72" t="n">
        <v>0</v>
      </c>
      <c r="U135" s="72" t="n">
        <v>0</v>
      </c>
      <c r="V135" s="72" t="n">
        <v>0</v>
      </c>
      <c r="W135" s="72" t="n">
        <v>0</v>
      </c>
      <c r="X135" s="73" t="n">
        <v>1000</v>
      </c>
      <c r="Y135" s="72" t="n">
        <v>0</v>
      </c>
      <c r="Z135" s="72" t="n">
        <v>0</v>
      </c>
      <c r="AA135" s="72" t="n">
        <v>0</v>
      </c>
      <c r="AB135" s="72" t="n">
        <v>0</v>
      </c>
      <c r="AC135" s="72" t="n">
        <v>0</v>
      </c>
      <c r="AD135" s="72" t="n">
        <v>0</v>
      </c>
      <c r="AE135" s="74" t="n">
        <v>0</v>
      </c>
      <c r="AF135" s="75" t="n">
        <v>0</v>
      </c>
      <c r="AG135" s="81"/>
      <c r="AH135" s="71"/>
    </row>
    <row r="136" customFormat="false" ht="15.75" hidden="false" customHeight="true" outlineLevel="0" collapsed="false">
      <c r="A136" s="76" t="n">
        <v>46044</v>
      </c>
      <c r="B136" s="76" t="s">
        <v>140</v>
      </c>
      <c r="C136" s="77" t="s">
        <v>48</v>
      </c>
      <c r="D136" s="78" t="n">
        <v>0</v>
      </c>
      <c r="E136" s="79" t="n">
        <v>0</v>
      </c>
      <c r="F136" s="63" t="n">
        <v>0</v>
      </c>
      <c r="G136" s="78" t="n">
        <v>0</v>
      </c>
      <c r="H136" s="78" t="n">
        <v>0</v>
      </c>
      <c r="I136" s="78" t="n">
        <v>0</v>
      </c>
      <c r="J136" s="78" t="n">
        <v>0</v>
      </c>
      <c r="K136" s="78" t="n">
        <v>0</v>
      </c>
      <c r="L136" s="78" t="n">
        <v>0</v>
      </c>
      <c r="M136" s="78" t="n">
        <v>0</v>
      </c>
      <c r="N136" s="78" t="n">
        <v>0</v>
      </c>
      <c r="O136" s="78" t="n">
        <v>0</v>
      </c>
      <c r="P136" s="80" t="n">
        <v>0</v>
      </c>
      <c r="Q136" s="73" t="n">
        <v>1750</v>
      </c>
      <c r="R136" s="72" t="n">
        <v>0</v>
      </c>
      <c r="S136" s="72" t="n">
        <v>0</v>
      </c>
      <c r="T136" s="72" t="n">
        <v>0</v>
      </c>
      <c r="U136" s="72" t="n">
        <v>0</v>
      </c>
      <c r="V136" s="72" t="n">
        <v>0</v>
      </c>
      <c r="W136" s="72" t="n">
        <v>0</v>
      </c>
      <c r="X136" s="72" t="n">
        <v>0</v>
      </c>
      <c r="Y136" s="72" t="n">
        <v>0</v>
      </c>
      <c r="Z136" s="72" t="n">
        <v>0</v>
      </c>
      <c r="AA136" s="72" t="n">
        <v>0</v>
      </c>
      <c r="AB136" s="72" t="n">
        <v>0</v>
      </c>
      <c r="AC136" s="72" t="n">
        <v>0</v>
      </c>
      <c r="AD136" s="72" t="n">
        <v>0</v>
      </c>
      <c r="AE136" s="74" t="n">
        <v>0</v>
      </c>
      <c r="AF136" s="75" t="n">
        <v>0</v>
      </c>
      <c r="AG136" s="81"/>
      <c r="AH136" s="71"/>
    </row>
    <row r="137" customFormat="false" ht="15.75" hidden="false" customHeight="true" outlineLevel="0" collapsed="false">
      <c r="A137" s="76" t="n">
        <v>46044</v>
      </c>
      <c r="B137" s="76" t="s">
        <v>192</v>
      </c>
      <c r="C137" s="77" t="s">
        <v>46</v>
      </c>
      <c r="D137" s="78" t="n">
        <v>600</v>
      </c>
      <c r="E137" s="79" t="n">
        <v>0</v>
      </c>
      <c r="F137" s="63" t="n">
        <v>0</v>
      </c>
      <c r="G137" s="78" t="n">
        <v>0</v>
      </c>
      <c r="H137" s="78" t="n">
        <v>0</v>
      </c>
      <c r="I137" s="78" t="n">
        <v>0</v>
      </c>
      <c r="J137" s="78" t="n">
        <v>0</v>
      </c>
      <c r="K137" s="78" t="n">
        <v>0</v>
      </c>
      <c r="L137" s="78" t="n">
        <v>0</v>
      </c>
      <c r="M137" s="78" t="n">
        <v>0</v>
      </c>
      <c r="N137" s="78" t="n">
        <v>0</v>
      </c>
      <c r="O137" s="78" t="n">
        <v>0</v>
      </c>
      <c r="P137" s="80" t="n">
        <v>0</v>
      </c>
      <c r="Q137" s="72" t="n">
        <v>0</v>
      </c>
      <c r="R137" s="73" t="n">
        <v>600</v>
      </c>
      <c r="S137" s="72" t="n">
        <v>0</v>
      </c>
      <c r="T137" s="72" t="n">
        <v>0</v>
      </c>
      <c r="U137" s="72" t="n">
        <v>0</v>
      </c>
      <c r="V137" s="72" t="n">
        <v>0</v>
      </c>
      <c r="W137" s="72" t="n">
        <v>0</v>
      </c>
      <c r="X137" s="72" t="n">
        <v>0</v>
      </c>
      <c r="Y137" s="72" t="n">
        <v>0</v>
      </c>
      <c r="Z137" s="72" t="n">
        <v>0</v>
      </c>
      <c r="AA137" s="72" t="n">
        <v>0</v>
      </c>
      <c r="AB137" s="72" t="n">
        <v>0</v>
      </c>
      <c r="AC137" s="72" t="n">
        <v>0</v>
      </c>
      <c r="AD137" s="72" t="n">
        <v>0</v>
      </c>
      <c r="AE137" s="74" t="n">
        <v>0</v>
      </c>
      <c r="AF137" s="75" t="n">
        <v>0</v>
      </c>
      <c r="AG137" s="81"/>
      <c r="AH137" s="71" t="s">
        <v>193</v>
      </c>
    </row>
    <row r="138" customFormat="false" ht="15.75" hidden="false" customHeight="true" outlineLevel="0" collapsed="false">
      <c r="A138" s="76" t="n">
        <v>46044</v>
      </c>
      <c r="B138" s="76" t="s">
        <v>170</v>
      </c>
      <c r="C138" s="77" t="s">
        <v>46</v>
      </c>
      <c r="D138" s="78" t="n">
        <v>600</v>
      </c>
      <c r="E138" s="79" t="n">
        <v>0</v>
      </c>
      <c r="F138" s="63" t="n">
        <v>0</v>
      </c>
      <c r="G138" s="78" t="n">
        <v>0</v>
      </c>
      <c r="H138" s="78" t="n">
        <v>0</v>
      </c>
      <c r="I138" s="78" t="n">
        <v>0</v>
      </c>
      <c r="J138" s="78" t="n">
        <v>0</v>
      </c>
      <c r="K138" s="78" t="n">
        <v>0</v>
      </c>
      <c r="L138" s="78" t="n">
        <v>0</v>
      </c>
      <c r="M138" s="78" t="n">
        <v>0</v>
      </c>
      <c r="N138" s="78" t="n">
        <v>0</v>
      </c>
      <c r="O138" s="78" t="n">
        <v>0</v>
      </c>
      <c r="P138" s="80" t="n">
        <v>0</v>
      </c>
      <c r="Q138" s="73" t="n">
        <v>100</v>
      </c>
      <c r="R138" s="72" t="n">
        <v>0</v>
      </c>
      <c r="S138" s="72" t="n">
        <v>0</v>
      </c>
      <c r="T138" s="72" t="n">
        <v>0</v>
      </c>
      <c r="U138" s="72" t="n">
        <v>0</v>
      </c>
      <c r="V138" s="73" t="n">
        <v>380</v>
      </c>
      <c r="W138" s="72" t="n">
        <v>0</v>
      </c>
      <c r="X138" s="72" t="n">
        <v>0</v>
      </c>
      <c r="Y138" s="72" t="n">
        <v>0</v>
      </c>
      <c r="Z138" s="72" t="n">
        <v>0</v>
      </c>
      <c r="AA138" s="72" t="n">
        <v>0</v>
      </c>
      <c r="AB138" s="72" t="n">
        <v>0</v>
      </c>
      <c r="AC138" s="72" t="n">
        <v>0</v>
      </c>
      <c r="AD138" s="72" t="n">
        <v>0</v>
      </c>
      <c r="AE138" s="74" t="n">
        <v>0</v>
      </c>
      <c r="AF138" s="75" t="n">
        <v>0</v>
      </c>
      <c r="AG138" s="81"/>
      <c r="AH138" s="71"/>
    </row>
    <row r="139" customFormat="false" ht="15.75" hidden="false" customHeight="true" outlineLevel="0" collapsed="false">
      <c r="A139" s="76" t="n">
        <v>46044</v>
      </c>
      <c r="B139" s="76" t="s">
        <v>170</v>
      </c>
      <c r="C139" s="77" t="s">
        <v>46</v>
      </c>
      <c r="D139" s="78" t="n">
        <v>0</v>
      </c>
      <c r="E139" s="79" t="n">
        <v>11200</v>
      </c>
      <c r="F139" s="63" t="n">
        <v>0</v>
      </c>
      <c r="G139" s="78" t="n">
        <v>500</v>
      </c>
      <c r="H139" s="78" t="n">
        <v>0</v>
      </c>
      <c r="I139" s="78" t="n">
        <v>4200</v>
      </c>
      <c r="J139" s="78" t="n">
        <v>6500</v>
      </c>
      <c r="K139" s="78" t="n">
        <v>0</v>
      </c>
      <c r="L139" s="78" t="n">
        <v>0</v>
      </c>
      <c r="M139" s="78" t="n">
        <v>0</v>
      </c>
      <c r="N139" s="78" t="n">
        <v>0</v>
      </c>
      <c r="O139" s="78" t="n">
        <v>0</v>
      </c>
      <c r="P139" s="80" t="n">
        <v>0</v>
      </c>
      <c r="Q139" s="72" t="n">
        <v>0</v>
      </c>
      <c r="R139" s="72" t="n">
        <v>0</v>
      </c>
      <c r="S139" s="72" t="n">
        <v>0</v>
      </c>
      <c r="T139" s="72" t="n">
        <v>0</v>
      </c>
      <c r="U139" s="72" t="n">
        <v>0</v>
      </c>
      <c r="V139" s="73" t="n">
        <v>3100</v>
      </c>
      <c r="W139" s="72" t="n">
        <v>0</v>
      </c>
      <c r="X139" s="72" t="n">
        <v>0</v>
      </c>
      <c r="Y139" s="72" t="n">
        <v>0</v>
      </c>
      <c r="Z139" s="72" t="n">
        <v>0</v>
      </c>
      <c r="AA139" s="72" t="n">
        <v>0</v>
      </c>
      <c r="AB139" s="72" t="n">
        <v>0</v>
      </c>
      <c r="AC139" s="72" t="n">
        <v>0</v>
      </c>
      <c r="AD139" s="72" t="n">
        <v>0</v>
      </c>
      <c r="AE139" s="74" t="n">
        <v>8100</v>
      </c>
      <c r="AF139" s="75" t="n">
        <v>0</v>
      </c>
      <c r="AG139" s="81" t="s">
        <v>111</v>
      </c>
      <c r="AH139" s="71"/>
    </row>
    <row r="140" customFormat="false" ht="15.75" hidden="false" customHeight="true" outlineLevel="0" collapsed="false">
      <c r="A140" s="76" t="n">
        <v>46045</v>
      </c>
      <c r="B140" s="76" t="s">
        <v>194</v>
      </c>
      <c r="C140" s="77" t="s">
        <v>46</v>
      </c>
      <c r="D140" s="78" t="n">
        <v>600</v>
      </c>
      <c r="E140" s="79" t="n">
        <v>0</v>
      </c>
      <c r="F140" s="63" t="n">
        <v>0</v>
      </c>
      <c r="G140" s="78" t="n">
        <v>0</v>
      </c>
      <c r="H140" s="78" t="n">
        <v>0</v>
      </c>
      <c r="I140" s="78" t="n">
        <v>0</v>
      </c>
      <c r="J140" s="78" t="n">
        <v>0</v>
      </c>
      <c r="K140" s="78" t="n">
        <v>0</v>
      </c>
      <c r="L140" s="78" t="n">
        <v>0</v>
      </c>
      <c r="M140" s="78" t="n">
        <v>0</v>
      </c>
      <c r="N140" s="78" t="n">
        <v>0</v>
      </c>
      <c r="O140" s="78" t="n">
        <v>0</v>
      </c>
      <c r="P140" s="80" t="n">
        <v>0</v>
      </c>
      <c r="Q140" s="72" t="n">
        <v>0</v>
      </c>
      <c r="R140" s="73" t="n">
        <v>600</v>
      </c>
      <c r="S140" s="72" t="n">
        <v>0</v>
      </c>
      <c r="T140" s="72" t="n">
        <v>0</v>
      </c>
      <c r="U140" s="72" t="n">
        <v>0</v>
      </c>
      <c r="V140" s="72" t="n">
        <v>0</v>
      </c>
      <c r="W140" s="72" t="n">
        <v>0</v>
      </c>
      <c r="X140" s="72" t="n">
        <v>0</v>
      </c>
      <c r="Y140" s="72" t="n">
        <v>0</v>
      </c>
      <c r="Z140" s="72" t="n">
        <v>0</v>
      </c>
      <c r="AA140" s="72" t="n">
        <v>0</v>
      </c>
      <c r="AB140" s="72" t="n">
        <v>0</v>
      </c>
      <c r="AC140" s="72" t="n">
        <v>0</v>
      </c>
      <c r="AD140" s="72" t="n">
        <v>0</v>
      </c>
      <c r="AE140" s="74" t="n">
        <v>0</v>
      </c>
      <c r="AF140" s="75" t="n">
        <v>0</v>
      </c>
      <c r="AG140" s="81"/>
      <c r="AH140" s="71" t="s">
        <v>195</v>
      </c>
    </row>
    <row r="141" customFormat="false" ht="15.75" hidden="false" customHeight="true" outlineLevel="0" collapsed="false">
      <c r="A141" s="76" t="n">
        <v>46045</v>
      </c>
      <c r="B141" s="76" t="s">
        <v>194</v>
      </c>
      <c r="C141" s="77"/>
      <c r="D141" s="78" t="n">
        <v>0</v>
      </c>
      <c r="E141" s="79" t="n">
        <v>500</v>
      </c>
      <c r="F141" s="63" t="n">
        <v>0</v>
      </c>
      <c r="G141" s="78" t="n">
        <v>0</v>
      </c>
      <c r="H141" s="78" t="n">
        <v>0</v>
      </c>
      <c r="I141" s="78" t="n">
        <v>0</v>
      </c>
      <c r="J141" s="78" t="n">
        <v>0</v>
      </c>
      <c r="K141" s="78" t="n">
        <v>0</v>
      </c>
      <c r="L141" s="78" t="n">
        <v>0</v>
      </c>
      <c r="M141" s="78" t="n">
        <v>0</v>
      </c>
      <c r="N141" s="78" t="n">
        <v>500</v>
      </c>
      <c r="O141" s="78" t="n">
        <v>0</v>
      </c>
      <c r="P141" s="80" t="n">
        <v>0</v>
      </c>
      <c r="Q141" s="72" t="n">
        <v>0</v>
      </c>
      <c r="R141" s="73" t="n">
        <v>500</v>
      </c>
      <c r="S141" s="72" t="n">
        <v>0</v>
      </c>
      <c r="T141" s="72" t="n">
        <v>0</v>
      </c>
      <c r="U141" s="72" t="n">
        <v>0</v>
      </c>
      <c r="V141" s="72" t="n">
        <v>0</v>
      </c>
      <c r="W141" s="72" t="n">
        <v>0</v>
      </c>
      <c r="X141" s="72" t="n">
        <v>0</v>
      </c>
      <c r="Y141" s="72" t="n">
        <v>0</v>
      </c>
      <c r="Z141" s="72" t="n">
        <v>0</v>
      </c>
      <c r="AA141" s="72" t="n">
        <v>0</v>
      </c>
      <c r="AB141" s="72" t="n">
        <v>0</v>
      </c>
      <c r="AC141" s="72" t="n">
        <v>0</v>
      </c>
      <c r="AD141" s="72" t="n">
        <v>0</v>
      </c>
      <c r="AE141" s="74" t="n">
        <v>0</v>
      </c>
      <c r="AF141" s="75" t="n">
        <v>0</v>
      </c>
      <c r="AG141" s="81"/>
      <c r="AH141" s="71" t="s">
        <v>195</v>
      </c>
    </row>
    <row r="142" customFormat="false" ht="15.75" hidden="false" customHeight="true" outlineLevel="0" collapsed="false">
      <c r="A142" s="76" t="n">
        <v>46045</v>
      </c>
      <c r="B142" s="76" t="s">
        <v>196</v>
      </c>
      <c r="C142" s="77" t="s">
        <v>46</v>
      </c>
      <c r="D142" s="78" t="n">
        <v>0</v>
      </c>
      <c r="E142" s="79" t="n">
        <v>7200</v>
      </c>
      <c r="F142" s="63" t="n">
        <v>0</v>
      </c>
      <c r="G142" s="78" t="n">
        <v>0</v>
      </c>
      <c r="H142" s="78" t="n">
        <v>0</v>
      </c>
      <c r="I142" s="78" t="n">
        <v>4200</v>
      </c>
      <c r="J142" s="78" t="n">
        <v>0</v>
      </c>
      <c r="K142" s="78" t="n">
        <v>3000</v>
      </c>
      <c r="L142" s="78" t="n">
        <v>0</v>
      </c>
      <c r="M142" s="78" t="n">
        <v>0</v>
      </c>
      <c r="N142" s="78" t="n">
        <v>0</v>
      </c>
      <c r="O142" s="78" t="n">
        <v>0</v>
      </c>
      <c r="P142" s="80" t="n">
        <v>0</v>
      </c>
      <c r="Q142" s="72" t="n">
        <v>0</v>
      </c>
      <c r="R142" s="73" t="n">
        <v>7200</v>
      </c>
      <c r="S142" s="72" t="n">
        <v>0</v>
      </c>
      <c r="T142" s="72" t="n">
        <v>0</v>
      </c>
      <c r="U142" s="72" t="n">
        <v>0</v>
      </c>
      <c r="V142" s="72" t="n">
        <v>0</v>
      </c>
      <c r="W142" s="72" t="n">
        <v>0</v>
      </c>
      <c r="X142" s="72" t="n">
        <v>0</v>
      </c>
      <c r="Y142" s="72" t="n">
        <v>0</v>
      </c>
      <c r="Z142" s="72" t="n">
        <v>0</v>
      </c>
      <c r="AA142" s="72" t="n">
        <v>0</v>
      </c>
      <c r="AB142" s="72" t="n">
        <v>0</v>
      </c>
      <c r="AC142" s="72" t="n">
        <v>0</v>
      </c>
      <c r="AD142" s="72" t="n">
        <v>0</v>
      </c>
      <c r="AE142" s="74" t="n">
        <v>0</v>
      </c>
      <c r="AF142" s="75" t="n">
        <v>0</v>
      </c>
      <c r="AG142" s="81"/>
      <c r="AH142" s="71" t="s">
        <v>195</v>
      </c>
    </row>
    <row r="143" customFormat="false" ht="15.75" hidden="false" customHeight="true" outlineLevel="0" collapsed="false">
      <c r="A143" s="76" t="n">
        <v>46045</v>
      </c>
      <c r="B143" s="76" t="s">
        <v>197</v>
      </c>
      <c r="C143" s="77" t="s">
        <v>46</v>
      </c>
      <c r="D143" s="78" t="n">
        <v>0</v>
      </c>
      <c r="E143" s="79" t="n">
        <v>6748</v>
      </c>
      <c r="F143" s="63" t="n">
        <v>0</v>
      </c>
      <c r="G143" s="78" t="n">
        <v>0</v>
      </c>
      <c r="H143" s="78" t="n">
        <v>3748</v>
      </c>
      <c r="I143" s="78" t="n">
        <v>0</v>
      </c>
      <c r="J143" s="78" t="n">
        <v>0</v>
      </c>
      <c r="K143" s="78" t="n">
        <v>3000</v>
      </c>
      <c r="L143" s="78" t="n">
        <v>0</v>
      </c>
      <c r="M143" s="78" t="n">
        <v>0</v>
      </c>
      <c r="N143" s="78" t="n">
        <v>0</v>
      </c>
      <c r="O143" s="78" t="n">
        <v>0</v>
      </c>
      <c r="P143" s="80" t="n">
        <v>0</v>
      </c>
      <c r="Q143" s="72" t="n">
        <v>0</v>
      </c>
      <c r="R143" s="73" t="n">
        <v>7422.8</v>
      </c>
      <c r="S143" s="72" t="n">
        <v>0</v>
      </c>
      <c r="T143" s="72" t="n">
        <v>0</v>
      </c>
      <c r="U143" s="72" t="n">
        <v>0</v>
      </c>
      <c r="V143" s="72" t="n">
        <v>0</v>
      </c>
      <c r="W143" s="72" t="n">
        <v>0</v>
      </c>
      <c r="X143" s="72" t="n">
        <v>0</v>
      </c>
      <c r="Y143" s="72" t="n">
        <v>0</v>
      </c>
      <c r="Z143" s="72" t="n">
        <v>674.8</v>
      </c>
      <c r="AA143" s="72" t="n">
        <v>0</v>
      </c>
      <c r="AB143" s="72" t="n">
        <v>0</v>
      </c>
      <c r="AC143" s="72" t="n">
        <v>0</v>
      </c>
      <c r="AD143" s="72" t="n">
        <v>0</v>
      </c>
      <c r="AE143" s="74" t="n">
        <v>0</v>
      </c>
      <c r="AF143" s="75" t="n">
        <v>0</v>
      </c>
      <c r="AG143" s="81"/>
      <c r="AH143" s="71" t="s">
        <v>198</v>
      </c>
    </row>
    <row r="144" customFormat="false" ht="15.75" hidden="false" customHeight="true" outlineLevel="0" collapsed="false">
      <c r="A144" s="76" t="n">
        <v>46045</v>
      </c>
      <c r="B144" s="76" t="s">
        <v>199</v>
      </c>
      <c r="C144" s="77" t="s">
        <v>48</v>
      </c>
      <c r="D144" s="78" t="n">
        <v>0</v>
      </c>
      <c r="E144" s="79" t="n">
        <v>0</v>
      </c>
      <c r="F144" s="63" t="n">
        <v>0</v>
      </c>
      <c r="G144" s="78" t="n">
        <v>0</v>
      </c>
      <c r="H144" s="78" t="n">
        <v>0</v>
      </c>
      <c r="I144" s="78" t="n">
        <v>0</v>
      </c>
      <c r="J144" s="78" t="n">
        <v>0</v>
      </c>
      <c r="K144" s="78" t="n">
        <v>0</v>
      </c>
      <c r="L144" s="78" t="n">
        <v>0</v>
      </c>
      <c r="M144" s="78" t="n">
        <v>0</v>
      </c>
      <c r="N144" s="78" t="n">
        <v>0</v>
      </c>
      <c r="O144" s="78" t="n">
        <v>0</v>
      </c>
      <c r="P144" s="80" t="n">
        <v>0</v>
      </c>
      <c r="Q144" s="72" t="n">
        <v>0</v>
      </c>
      <c r="R144" s="72" t="n">
        <v>0</v>
      </c>
      <c r="S144" s="72" t="n">
        <v>0</v>
      </c>
      <c r="T144" s="72" t="n">
        <v>0</v>
      </c>
      <c r="U144" s="72" t="n">
        <v>0</v>
      </c>
      <c r="V144" s="73" t="n">
        <v>150</v>
      </c>
      <c r="W144" s="72" t="n">
        <v>0</v>
      </c>
      <c r="X144" s="72" t="n">
        <v>0</v>
      </c>
      <c r="Y144" s="72" t="n">
        <v>0</v>
      </c>
      <c r="Z144" s="72" t="n">
        <v>0</v>
      </c>
      <c r="AA144" s="72" t="n">
        <v>0</v>
      </c>
      <c r="AB144" s="72" t="n">
        <v>0</v>
      </c>
      <c r="AC144" s="72" t="n">
        <v>0</v>
      </c>
      <c r="AD144" s="72" t="n">
        <v>0</v>
      </c>
      <c r="AE144" s="74" t="n">
        <v>0</v>
      </c>
      <c r="AF144" s="75" t="n">
        <v>0</v>
      </c>
      <c r="AG144" s="81"/>
      <c r="AH144" s="71"/>
    </row>
    <row r="145" customFormat="false" ht="15.75" hidden="false" customHeight="true" outlineLevel="0" collapsed="false">
      <c r="A145" s="76" t="n">
        <v>46045</v>
      </c>
      <c r="B145" s="76" t="s">
        <v>200</v>
      </c>
      <c r="C145" s="77" t="s">
        <v>46</v>
      </c>
      <c r="D145" s="78" t="n">
        <v>0</v>
      </c>
      <c r="E145" s="79" t="n">
        <v>4938</v>
      </c>
      <c r="F145" s="63" t="n">
        <v>0</v>
      </c>
      <c r="G145" s="78" t="n">
        <v>0</v>
      </c>
      <c r="H145" s="78" t="n">
        <v>4938</v>
      </c>
      <c r="I145" s="78" t="n">
        <v>0</v>
      </c>
      <c r="J145" s="78" t="n">
        <v>0</v>
      </c>
      <c r="K145" s="78" t="n">
        <v>0</v>
      </c>
      <c r="L145" s="78" t="n">
        <v>0</v>
      </c>
      <c r="M145" s="78" t="n">
        <v>0</v>
      </c>
      <c r="N145" s="78" t="n">
        <v>0</v>
      </c>
      <c r="O145" s="78" t="n">
        <v>0</v>
      </c>
      <c r="P145" s="80" t="n">
        <v>0</v>
      </c>
      <c r="Q145" s="72" t="n">
        <v>0</v>
      </c>
      <c r="R145" s="73" t="n">
        <v>4938</v>
      </c>
      <c r="S145" s="72" t="n">
        <v>0</v>
      </c>
      <c r="T145" s="72" t="n">
        <v>0</v>
      </c>
      <c r="U145" s="72" t="n">
        <v>0</v>
      </c>
      <c r="V145" s="72" t="n">
        <v>0</v>
      </c>
      <c r="W145" s="72" t="n">
        <v>0</v>
      </c>
      <c r="X145" s="72" t="n">
        <v>0</v>
      </c>
      <c r="Y145" s="72" t="n">
        <v>0</v>
      </c>
      <c r="Z145" s="72" t="n">
        <v>0</v>
      </c>
      <c r="AA145" s="72" t="n">
        <v>0</v>
      </c>
      <c r="AB145" s="72" t="n">
        <v>0</v>
      </c>
      <c r="AC145" s="72" t="n">
        <v>0</v>
      </c>
      <c r="AD145" s="72" t="n">
        <v>0</v>
      </c>
      <c r="AE145" s="74" t="n">
        <v>0</v>
      </c>
      <c r="AF145" s="75" t="n">
        <v>0</v>
      </c>
      <c r="AG145" s="81"/>
      <c r="AH145" s="71" t="s">
        <v>201</v>
      </c>
    </row>
    <row r="146" customFormat="false" ht="15.75" hidden="false" customHeight="true" outlineLevel="0" collapsed="false">
      <c r="A146" s="76" t="n">
        <v>46045</v>
      </c>
      <c r="B146" s="76" t="s">
        <v>202</v>
      </c>
      <c r="C146" s="77" t="s">
        <v>46</v>
      </c>
      <c r="D146" s="78" t="n">
        <v>600</v>
      </c>
      <c r="E146" s="79" t="n">
        <v>0</v>
      </c>
      <c r="F146" s="63" t="n">
        <v>0</v>
      </c>
      <c r="G146" s="78" t="n">
        <v>0</v>
      </c>
      <c r="H146" s="78" t="n">
        <v>0</v>
      </c>
      <c r="I146" s="78" t="n">
        <v>0</v>
      </c>
      <c r="J146" s="78" t="n">
        <v>0</v>
      </c>
      <c r="K146" s="78" t="n">
        <v>0</v>
      </c>
      <c r="L146" s="78" t="n">
        <v>0</v>
      </c>
      <c r="M146" s="78" t="n">
        <v>0</v>
      </c>
      <c r="N146" s="78" t="n">
        <v>0</v>
      </c>
      <c r="O146" s="78" t="n">
        <v>0</v>
      </c>
      <c r="P146" s="80" t="n">
        <v>0</v>
      </c>
      <c r="Q146" s="72" t="n">
        <v>0</v>
      </c>
      <c r="R146" s="72" t="n">
        <v>0</v>
      </c>
      <c r="S146" s="72" t="n">
        <v>0</v>
      </c>
      <c r="T146" s="72" t="n">
        <v>0</v>
      </c>
      <c r="U146" s="72" t="n">
        <v>0</v>
      </c>
      <c r="V146" s="73" t="n">
        <v>480</v>
      </c>
      <c r="W146" s="72" t="n">
        <v>0</v>
      </c>
      <c r="X146" s="72" t="n">
        <v>0</v>
      </c>
      <c r="Y146" s="72" t="n">
        <v>0</v>
      </c>
      <c r="Z146" s="72" t="n">
        <v>0</v>
      </c>
      <c r="AA146" s="72" t="n">
        <v>0</v>
      </c>
      <c r="AB146" s="72" t="n">
        <v>0</v>
      </c>
      <c r="AC146" s="72" t="n">
        <v>0</v>
      </c>
      <c r="AD146" s="72" t="n">
        <v>0</v>
      </c>
      <c r="AE146" s="74" t="n">
        <v>0</v>
      </c>
      <c r="AF146" s="75" t="n">
        <v>0</v>
      </c>
      <c r="AG146" s="81"/>
      <c r="AH146" s="71"/>
    </row>
    <row r="147" customFormat="false" ht="15.75" hidden="false" customHeight="true" outlineLevel="0" collapsed="false">
      <c r="A147" s="76" t="n">
        <v>46045</v>
      </c>
      <c r="B147" s="76" t="s">
        <v>202</v>
      </c>
      <c r="C147" s="77" t="s">
        <v>46</v>
      </c>
      <c r="D147" s="78" t="n">
        <v>0</v>
      </c>
      <c r="E147" s="79" t="n">
        <v>11548</v>
      </c>
      <c r="F147" s="63" t="n">
        <v>600</v>
      </c>
      <c r="G147" s="78" t="n">
        <v>0</v>
      </c>
      <c r="H147" s="78" t="n">
        <v>4148</v>
      </c>
      <c r="I147" s="78" t="n">
        <v>0</v>
      </c>
      <c r="J147" s="78" t="n">
        <v>5000</v>
      </c>
      <c r="K147" s="78" t="n">
        <v>2400</v>
      </c>
      <c r="L147" s="78" t="n">
        <v>0</v>
      </c>
      <c r="M147" s="78" t="n">
        <v>0</v>
      </c>
      <c r="N147" s="78" t="n">
        <v>0</v>
      </c>
      <c r="O147" s="78" t="n">
        <v>0</v>
      </c>
      <c r="P147" s="80" t="n">
        <v>0</v>
      </c>
      <c r="Q147" s="72" t="n">
        <v>0</v>
      </c>
      <c r="R147" s="73" t="n">
        <v>11548</v>
      </c>
      <c r="S147" s="72" t="n">
        <v>0</v>
      </c>
      <c r="T147" s="72" t="n">
        <v>0</v>
      </c>
      <c r="U147" s="72" t="n">
        <v>0</v>
      </c>
      <c r="V147" s="72" t="n">
        <v>0</v>
      </c>
      <c r="W147" s="72" t="n">
        <v>0</v>
      </c>
      <c r="X147" s="72" t="n">
        <v>0</v>
      </c>
      <c r="Y147" s="72" t="n">
        <v>0</v>
      </c>
      <c r="Z147" s="72" t="n">
        <v>0</v>
      </c>
      <c r="AA147" s="72" t="n">
        <v>0</v>
      </c>
      <c r="AB147" s="72" t="n">
        <v>0</v>
      </c>
      <c r="AC147" s="72" t="n">
        <v>0</v>
      </c>
      <c r="AD147" s="72" t="n">
        <v>0</v>
      </c>
      <c r="AE147" s="74" t="n">
        <v>0</v>
      </c>
      <c r="AF147" s="75" t="n">
        <v>0</v>
      </c>
      <c r="AG147" s="81"/>
      <c r="AH147" s="71" t="s">
        <v>203</v>
      </c>
    </row>
    <row r="148" customFormat="false" ht="15.75" hidden="false" customHeight="true" outlineLevel="0" collapsed="false">
      <c r="A148" s="76" t="n">
        <v>46045</v>
      </c>
      <c r="B148" s="76" t="s">
        <v>204</v>
      </c>
      <c r="C148" s="77" t="s">
        <v>46</v>
      </c>
      <c r="D148" s="78" t="n">
        <v>0</v>
      </c>
      <c r="E148" s="79" t="n">
        <v>6000</v>
      </c>
      <c r="F148" s="63" t="n">
        <v>0</v>
      </c>
      <c r="G148" s="78" t="n">
        <v>0</v>
      </c>
      <c r="H148" s="78" t="n">
        <v>0</v>
      </c>
      <c r="I148" s="78" t="n">
        <v>0</v>
      </c>
      <c r="J148" s="78" t="n">
        <v>6000</v>
      </c>
      <c r="K148" s="78" t="n">
        <v>0</v>
      </c>
      <c r="L148" s="78" t="n">
        <v>0</v>
      </c>
      <c r="M148" s="78" t="n">
        <v>0</v>
      </c>
      <c r="N148" s="78" t="n">
        <v>0</v>
      </c>
      <c r="O148" s="78" t="n">
        <v>0</v>
      </c>
      <c r="P148" s="80" t="n">
        <v>0</v>
      </c>
      <c r="Q148" s="72" t="n">
        <v>0</v>
      </c>
      <c r="R148" s="73" t="n">
        <v>3000</v>
      </c>
      <c r="S148" s="72" t="n">
        <v>0</v>
      </c>
      <c r="T148" s="72" t="n">
        <v>0</v>
      </c>
      <c r="U148" s="72" t="n">
        <v>0</v>
      </c>
      <c r="V148" s="72" t="n">
        <v>0</v>
      </c>
      <c r="W148" s="72" t="n">
        <v>0</v>
      </c>
      <c r="X148" s="72" t="n">
        <v>0</v>
      </c>
      <c r="Y148" s="72" t="n">
        <v>0</v>
      </c>
      <c r="Z148" s="72" t="n">
        <v>0</v>
      </c>
      <c r="AA148" s="72" t="n">
        <v>0</v>
      </c>
      <c r="AB148" s="72" t="n">
        <v>0</v>
      </c>
      <c r="AC148" s="72" t="n">
        <v>0</v>
      </c>
      <c r="AD148" s="72" t="n">
        <v>0</v>
      </c>
      <c r="AE148" s="74" t="n">
        <v>0</v>
      </c>
      <c r="AF148" s="75" t="n">
        <v>0</v>
      </c>
      <c r="AG148" s="81"/>
      <c r="AH148" s="71" t="s">
        <v>205</v>
      </c>
    </row>
    <row r="149" customFormat="false" ht="15.75" hidden="false" customHeight="true" outlineLevel="0" collapsed="false">
      <c r="A149" s="76" t="n">
        <v>46045</v>
      </c>
      <c r="B149" s="76" t="s">
        <v>204</v>
      </c>
      <c r="C149" s="77" t="s">
        <v>48</v>
      </c>
      <c r="D149" s="78" t="n">
        <v>0</v>
      </c>
      <c r="E149" s="79" t="n">
        <v>0</v>
      </c>
      <c r="F149" s="63" t="n">
        <v>0</v>
      </c>
      <c r="G149" s="78" t="n">
        <v>0</v>
      </c>
      <c r="H149" s="78" t="n">
        <v>0</v>
      </c>
      <c r="I149" s="78" t="n">
        <v>0</v>
      </c>
      <c r="J149" s="78" t="n">
        <v>0</v>
      </c>
      <c r="K149" s="78" t="n">
        <v>0</v>
      </c>
      <c r="L149" s="78" t="n">
        <v>0</v>
      </c>
      <c r="M149" s="78" t="n">
        <v>0</v>
      </c>
      <c r="N149" s="78" t="n">
        <v>0</v>
      </c>
      <c r="O149" s="78" t="n">
        <v>0</v>
      </c>
      <c r="P149" s="80" t="n">
        <v>0</v>
      </c>
      <c r="Q149" s="72" t="n">
        <v>0</v>
      </c>
      <c r="R149" s="73" t="n">
        <v>3180</v>
      </c>
      <c r="S149" s="72" t="n">
        <v>0</v>
      </c>
      <c r="T149" s="72" t="n">
        <v>0</v>
      </c>
      <c r="U149" s="72" t="n">
        <v>0</v>
      </c>
      <c r="V149" s="72" t="n">
        <v>0</v>
      </c>
      <c r="W149" s="72" t="n">
        <v>0</v>
      </c>
      <c r="X149" s="72" t="n">
        <v>0</v>
      </c>
      <c r="Y149" s="72" t="n">
        <v>0</v>
      </c>
      <c r="Z149" s="72" t="n">
        <v>180</v>
      </c>
      <c r="AA149" s="72" t="n">
        <v>0</v>
      </c>
      <c r="AB149" s="72" t="n">
        <v>0</v>
      </c>
      <c r="AC149" s="72" t="n">
        <v>0</v>
      </c>
      <c r="AD149" s="72" t="n">
        <v>0</v>
      </c>
      <c r="AE149" s="74" t="n">
        <v>0</v>
      </c>
      <c r="AF149" s="75" t="n">
        <v>0</v>
      </c>
      <c r="AG149" s="81"/>
      <c r="AH149" s="71" t="s">
        <v>205</v>
      </c>
    </row>
    <row r="150" customFormat="false" ht="15.75" hidden="false" customHeight="true" outlineLevel="0" collapsed="false">
      <c r="A150" s="76" t="n">
        <v>46045</v>
      </c>
      <c r="B150" s="76" t="s">
        <v>206</v>
      </c>
      <c r="C150" s="77" t="s">
        <v>53</v>
      </c>
      <c r="D150" s="78" t="n">
        <v>0</v>
      </c>
      <c r="E150" s="79" t="n">
        <v>0</v>
      </c>
      <c r="F150" s="63" t="n">
        <v>0</v>
      </c>
      <c r="G150" s="78" t="n">
        <v>0</v>
      </c>
      <c r="H150" s="78" t="n">
        <v>0</v>
      </c>
      <c r="I150" s="78" t="n">
        <v>0</v>
      </c>
      <c r="J150" s="78" t="n">
        <v>0</v>
      </c>
      <c r="K150" s="78" t="n">
        <v>0</v>
      </c>
      <c r="L150" s="78" t="n">
        <v>0</v>
      </c>
      <c r="M150" s="78" t="n">
        <v>0</v>
      </c>
      <c r="N150" s="78" t="n">
        <v>0</v>
      </c>
      <c r="O150" s="78" t="n">
        <v>0</v>
      </c>
      <c r="P150" s="80" t="n">
        <v>0</v>
      </c>
      <c r="Q150" s="72" t="n">
        <v>0</v>
      </c>
      <c r="R150" s="72" t="n">
        <v>0</v>
      </c>
      <c r="S150" s="72" t="n">
        <v>0</v>
      </c>
      <c r="T150" s="72" t="n">
        <v>0</v>
      </c>
      <c r="U150" s="72" t="n">
        <v>0</v>
      </c>
      <c r="V150" s="72" t="n">
        <v>0</v>
      </c>
      <c r="W150" s="72" t="n">
        <v>0</v>
      </c>
      <c r="X150" s="73" t="n">
        <v>1874.53</v>
      </c>
      <c r="Y150" s="72" t="n">
        <v>0</v>
      </c>
      <c r="Z150" s="72" t="n">
        <v>0</v>
      </c>
      <c r="AA150" s="72" t="n">
        <v>0</v>
      </c>
      <c r="AB150" s="72" t="n">
        <v>0</v>
      </c>
      <c r="AC150" s="72" t="n">
        <v>0</v>
      </c>
      <c r="AD150" s="72" t="n">
        <v>0</v>
      </c>
      <c r="AE150" s="74" t="n">
        <v>0</v>
      </c>
      <c r="AF150" s="75" t="n">
        <v>0</v>
      </c>
      <c r="AG150" s="81"/>
      <c r="AH150" s="71"/>
    </row>
    <row r="151" customFormat="false" ht="15.75" hidden="false" customHeight="true" outlineLevel="0" collapsed="false">
      <c r="A151" s="76" t="n">
        <v>46045</v>
      </c>
      <c r="B151" s="76" t="s">
        <v>207</v>
      </c>
      <c r="C151" s="77" t="s">
        <v>53</v>
      </c>
      <c r="D151" s="78" t="n">
        <v>0</v>
      </c>
      <c r="E151" s="79" t="n">
        <v>0</v>
      </c>
      <c r="F151" s="63" t="n">
        <v>0</v>
      </c>
      <c r="G151" s="78" t="n">
        <v>0</v>
      </c>
      <c r="H151" s="78" t="n">
        <v>0</v>
      </c>
      <c r="I151" s="78" t="n">
        <v>0</v>
      </c>
      <c r="J151" s="78" t="n">
        <v>0</v>
      </c>
      <c r="K151" s="78" t="n">
        <v>0</v>
      </c>
      <c r="L151" s="78" t="n">
        <v>0</v>
      </c>
      <c r="M151" s="78" t="n">
        <v>0</v>
      </c>
      <c r="N151" s="78" t="n">
        <v>0</v>
      </c>
      <c r="O151" s="78" t="n">
        <v>0</v>
      </c>
      <c r="P151" s="80" t="n">
        <v>0</v>
      </c>
      <c r="Q151" s="72" t="n">
        <v>0</v>
      </c>
      <c r="R151" s="72" t="n">
        <v>0</v>
      </c>
      <c r="S151" s="72" t="n">
        <v>0</v>
      </c>
      <c r="T151" s="72" t="n">
        <v>0</v>
      </c>
      <c r="U151" s="72" t="n">
        <v>0</v>
      </c>
      <c r="V151" s="72" t="n">
        <v>0</v>
      </c>
      <c r="W151" s="72" t="n">
        <v>0</v>
      </c>
      <c r="X151" s="73" t="n">
        <v>1724.91</v>
      </c>
      <c r="Y151" s="72" t="n">
        <v>0</v>
      </c>
      <c r="Z151" s="72" t="n">
        <v>0</v>
      </c>
      <c r="AA151" s="72" t="n">
        <v>0</v>
      </c>
      <c r="AB151" s="72" t="n">
        <v>0</v>
      </c>
      <c r="AC151" s="72" t="n">
        <v>0</v>
      </c>
      <c r="AD151" s="72" t="n">
        <v>0</v>
      </c>
      <c r="AE151" s="74" t="n">
        <v>0</v>
      </c>
      <c r="AF151" s="75" t="n">
        <v>0</v>
      </c>
      <c r="AG151" s="81"/>
      <c r="AH151" s="71"/>
    </row>
    <row r="152" customFormat="false" ht="15.75" hidden="false" customHeight="true" outlineLevel="0" collapsed="false">
      <c r="A152" s="76" t="n">
        <v>46045</v>
      </c>
      <c r="B152" s="76" t="s">
        <v>208</v>
      </c>
      <c r="C152" s="77" t="s">
        <v>46</v>
      </c>
      <c r="D152" s="78" t="n">
        <v>600</v>
      </c>
      <c r="E152" s="79" t="n">
        <v>0</v>
      </c>
      <c r="F152" s="63" t="n">
        <v>0</v>
      </c>
      <c r="G152" s="78" t="n">
        <v>0</v>
      </c>
      <c r="H152" s="78" t="n">
        <v>0</v>
      </c>
      <c r="I152" s="78" t="n">
        <v>0</v>
      </c>
      <c r="J152" s="78" t="n">
        <v>0</v>
      </c>
      <c r="K152" s="78" t="n">
        <v>0</v>
      </c>
      <c r="L152" s="78" t="n">
        <v>0</v>
      </c>
      <c r="M152" s="78" t="n">
        <v>0</v>
      </c>
      <c r="N152" s="78" t="n">
        <v>0</v>
      </c>
      <c r="O152" s="78" t="n">
        <v>0</v>
      </c>
      <c r="P152" s="80" t="n">
        <v>0</v>
      </c>
      <c r="Q152" s="72" t="n">
        <v>0</v>
      </c>
      <c r="R152" s="73" t="n">
        <v>600</v>
      </c>
      <c r="S152" s="72" t="n">
        <v>0</v>
      </c>
      <c r="T152" s="72" t="n">
        <v>0</v>
      </c>
      <c r="U152" s="72" t="n">
        <v>0</v>
      </c>
      <c r="V152" s="72" t="n">
        <v>0</v>
      </c>
      <c r="W152" s="72" t="n">
        <v>0</v>
      </c>
      <c r="X152" s="72" t="n">
        <v>0</v>
      </c>
      <c r="Y152" s="72" t="n">
        <v>0</v>
      </c>
      <c r="Z152" s="72" t="n">
        <v>0</v>
      </c>
      <c r="AA152" s="72" t="n">
        <v>0</v>
      </c>
      <c r="AB152" s="72" t="n">
        <v>0</v>
      </c>
      <c r="AC152" s="72" t="n">
        <v>0</v>
      </c>
      <c r="AD152" s="72" t="n">
        <v>0</v>
      </c>
      <c r="AE152" s="74" t="n">
        <v>0</v>
      </c>
      <c r="AF152" s="75" t="n">
        <v>0</v>
      </c>
      <c r="AG152" s="81"/>
      <c r="AH152" s="71" t="s">
        <v>209</v>
      </c>
    </row>
    <row r="153" customFormat="false" ht="15.75" hidden="false" customHeight="true" outlineLevel="0" collapsed="false">
      <c r="A153" s="76" t="n">
        <v>46045</v>
      </c>
      <c r="B153" s="76" t="s">
        <v>208</v>
      </c>
      <c r="C153" s="77" t="s">
        <v>46</v>
      </c>
      <c r="D153" s="78" t="n">
        <v>0</v>
      </c>
      <c r="E153" s="79" t="n">
        <v>13560</v>
      </c>
      <c r="F153" s="63" t="n">
        <v>600</v>
      </c>
      <c r="G153" s="78" t="n">
        <v>0</v>
      </c>
      <c r="H153" s="78" t="n">
        <v>0</v>
      </c>
      <c r="I153" s="78" t="n">
        <v>0</v>
      </c>
      <c r="J153" s="78" t="n">
        <v>6000</v>
      </c>
      <c r="K153" s="78" t="n">
        <v>7560</v>
      </c>
      <c r="L153" s="78" t="n">
        <v>0</v>
      </c>
      <c r="M153" s="78" t="n">
        <v>0</v>
      </c>
      <c r="N153" s="78" t="n">
        <v>0</v>
      </c>
      <c r="O153" s="78" t="n">
        <v>0</v>
      </c>
      <c r="P153" s="80" t="n">
        <v>0</v>
      </c>
      <c r="Q153" s="72" t="n">
        <v>0</v>
      </c>
      <c r="R153" s="73" t="n">
        <v>13560</v>
      </c>
      <c r="S153" s="72" t="n">
        <v>0</v>
      </c>
      <c r="T153" s="72" t="n">
        <v>0</v>
      </c>
      <c r="U153" s="72" t="n">
        <v>0</v>
      </c>
      <c r="V153" s="72" t="n">
        <v>0</v>
      </c>
      <c r="W153" s="72" t="n">
        <v>0</v>
      </c>
      <c r="X153" s="72" t="n">
        <v>0</v>
      </c>
      <c r="Y153" s="72" t="n">
        <v>0</v>
      </c>
      <c r="Z153" s="72" t="n">
        <v>0</v>
      </c>
      <c r="AA153" s="72" t="n">
        <v>0</v>
      </c>
      <c r="AB153" s="72" t="n">
        <v>0</v>
      </c>
      <c r="AC153" s="72" t="n">
        <v>0</v>
      </c>
      <c r="AD153" s="72" t="n">
        <v>0</v>
      </c>
      <c r="AE153" s="74" t="n">
        <v>0</v>
      </c>
      <c r="AF153" s="75" t="n">
        <v>0</v>
      </c>
      <c r="AG153" s="81"/>
      <c r="AH153" s="71" t="s">
        <v>210</v>
      </c>
    </row>
    <row r="154" customFormat="false" ht="15.75" hidden="false" customHeight="true" outlineLevel="0" collapsed="false">
      <c r="A154" s="76" t="n">
        <v>46048</v>
      </c>
      <c r="B154" s="76" t="s">
        <v>211</v>
      </c>
      <c r="C154" s="77" t="s">
        <v>46</v>
      </c>
      <c r="D154" s="78" t="n">
        <v>0</v>
      </c>
      <c r="E154" s="79" t="n">
        <v>250</v>
      </c>
      <c r="F154" s="63" t="n">
        <v>0</v>
      </c>
      <c r="G154" s="78" t="n">
        <v>0</v>
      </c>
      <c r="H154" s="78" t="n">
        <v>0</v>
      </c>
      <c r="I154" s="78" t="n">
        <v>250</v>
      </c>
      <c r="J154" s="78" t="n">
        <v>0</v>
      </c>
      <c r="K154" s="78" t="n">
        <v>0</v>
      </c>
      <c r="L154" s="78" t="n">
        <v>0</v>
      </c>
      <c r="M154" s="78" t="n">
        <v>0</v>
      </c>
      <c r="N154" s="78" t="n">
        <v>0</v>
      </c>
      <c r="O154" s="78" t="n">
        <v>0</v>
      </c>
      <c r="P154" s="80" t="n">
        <v>0</v>
      </c>
      <c r="Q154" s="72" t="n">
        <v>0</v>
      </c>
      <c r="R154" s="73" t="n">
        <v>250</v>
      </c>
      <c r="S154" s="72" t="n">
        <v>0</v>
      </c>
      <c r="T154" s="72" t="n">
        <v>0</v>
      </c>
      <c r="U154" s="72" t="n">
        <v>0</v>
      </c>
      <c r="V154" s="72" t="n">
        <v>0</v>
      </c>
      <c r="W154" s="72" t="n">
        <v>0</v>
      </c>
      <c r="X154" s="72" t="n">
        <v>0</v>
      </c>
      <c r="Y154" s="72" t="n">
        <v>0</v>
      </c>
      <c r="Z154" s="72" t="n">
        <v>0</v>
      </c>
      <c r="AA154" s="72" t="n">
        <v>0</v>
      </c>
      <c r="AB154" s="72" t="n">
        <v>0</v>
      </c>
      <c r="AC154" s="72" t="n">
        <v>0</v>
      </c>
      <c r="AD154" s="72" t="n">
        <v>0</v>
      </c>
      <c r="AE154" s="74" t="n">
        <v>0</v>
      </c>
      <c r="AF154" s="75" t="n">
        <v>0</v>
      </c>
      <c r="AG154" s="81"/>
      <c r="AH154" s="71" t="s">
        <v>212</v>
      </c>
    </row>
    <row r="155" customFormat="false" ht="15.75" hidden="false" customHeight="true" outlineLevel="0" collapsed="false">
      <c r="A155" s="76" t="n">
        <v>46048</v>
      </c>
      <c r="B155" s="76" t="s">
        <v>213</v>
      </c>
      <c r="C155" s="77" t="s">
        <v>46</v>
      </c>
      <c r="D155" s="78" t="n">
        <v>600</v>
      </c>
      <c r="E155" s="79" t="n">
        <v>0</v>
      </c>
      <c r="F155" s="63" t="n">
        <v>0</v>
      </c>
      <c r="G155" s="78" t="n">
        <v>0</v>
      </c>
      <c r="H155" s="78" t="n">
        <v>0</v>
      </c>
      <c r="I155" s="78" t="n">
        <v>0</v>
      </c>
      <c r="J155" s="78" t="n">
        <v>0</v>
      </c>
      <c r="K155" s="78" t="n">
        <v>0</v>
      </c>
      <c r="L155" s="78" t="n">
        <v>0</v>
      </c>
      <c r="M155" s="78" t="n">
        <v>0</v>
      </c>
      <c r="N155" s="78" t="n">
        <v>0</v>
      </c>
      <c r="O155" s="78" t="n">
        <v>0</v>
      </c>
      <c r="P155" s="80" t="n">
        <v>0</v>
      </c>
      <c r="Q155" s="72" t="n">
        <v>0</v>
      </c>
      <c r="R155" s="73" t="n">
        <v>600</v>
      </c>
      <c r="S155" s="72" t="n">
        <v>0</v>
      </c>
      <c r="T155" s="72" t="n">
        <v>0</v>
      </c>
      <c r="U155" s="72" t="n">
        <v>0</v>
      </c>
      <c r="V155" s="72" t="n">
        <v>0</v>
      </c>
      <c r="W155" s="72" t="n">
        <v>0</v>
      </c>
      <c r="X155" s="72" t="n">
        <v>0</v>
      </c>
      <c r="Y155" s="72" t="n">
        <v>0</v>
      </c>
      <c r="Z155" s="72" t="n">
        <v>0</v>
      </c>
      <c r="AA155" s="72" t="n">
        <v>0</v>
      </c>
      <c r="AB155" s="72" t="n">
        <v>0</v>
      </c>
      <c r="AC155" s="72" t="n">
        <v>0</v>
      </c>
      <c r="AD155" s="72" t="n">
        <v>0</v>
      </c>
      <c r="AE155" s="74" t="n">
        <v>0</v>
      </c>
      <c r="AF155" s="75" t="n">
        <v>0</v>
      </c>
      <c r="AG155" s="81"/>
      <c r="AH155" s="71" t="s">
        <v>214</v>
      </c>
    </row>
    <row r="156" customFormat="false" ht="15.75" hidden="false" customHeight="true" outlineLevel="0" collapsed="false">
      <c r="A156" s="76" t="n">
        <v>46048</v>
      </c>
      <c r="B156" s="76" t="s">
        <v>213</v>
      </c>
      <c r="C156" s="77" t="s">
        <v>46</v>
      </c>
      <c r="D156" s="78" t="n">
        <v>0</v>
      </c>
      <c r="E156" s="79" t="n">
        <v>11729</v>
      </c>
      <c r="F156" s="63" t="n">
        <v>1249</v>
      </c>
      <c r="G156" s="78" t="n">
        <v>0</v>
      </c>
      <c r="H156" s="78" t="n">
        <v>0</v>
      </c>
      <c r="I156" s="78" t="n">
        <v>1237.5</v>
      </c>
      <c r="J156" s="78" t="n">
        <v>5940</v>
      </c>
      <c r="K156" s="78" t="n">
        <v>4551.5</v>
      </c>
      <c r="L156" s="78" t="n">
        <v>0</v>
      </c>
      <c r="M156" s="78" t="n">
        <v>0</v>
      </c>
      <c r="N156" s="78" t="n">
        <v>0</v>
      </c>
      <c r="O156" s="78" t="n">
        <v>0</v>
      </c>
      <c r="P156" s="80" t="n">
        <v>0</v>
      </c>
      <c r="Q156" s="72" t="n">
        <v>0</v>
      </c>
      <c r="R156" s="72" t="n">
        <v>0</v>
      </c>
      <c r="S156" s="72" t="n">
        <v>0</v>
      </c>
      <c r="T156" s="72" t="n">
        <v>0</v>
      </c>
      <c r="U156" s="72" t="n">
        <v>0</v>
      </c>
      <c r="V156" s="73" t="n">
        <v>1000</v>
      </c>
      <c r="W156" s="72" t="n">
        <v>0</v>
      </c>
      <c r="X156" s="72" t="n">
        <v>0</v>
      </c>
      <c r="Y156" s="72" t="n">
        <v>0</v>
      </c>
      <c r="Z156" s="72" t="n">
        <v>0</v>
      </c>
      <c r="AA156" s="72" t="n">
        <v>0</v>
      </c>
      <c r="AB156" s="72" t="n">
        <v>0</v>
      </c>
      <c r="AC156" s="72" t="n">
        <v>0</v>
      </c>
      <c r="AD156" s="72" t="n">
        <v>0</v>
      </c>
      <c r="AE156" s="74" t="n">
        <v>0</v>
      </c>
      <c r="AF156" s="75" t="n">
        <v>0</v>
      </c>
      <c r="AG156" s="81"/>
      <c r="AH156" s="71"/>
    </row>
    <row r="157" customFormat="false" ht="15.75" hidden="false" customHeight="true" outlineLevel="0" collapsed="false">
      <c r="A157" s="76" t="n">
        <v>46048</v>
      </c>
      <c r="B157" s="76" t="s">
        <v>110</v>
      </c>
      <c r="C157" s="77" t="s">
        <v>48</v>
      </c>
      <c r="D157" s="78" t="n">
        <v>0</v>
      </c>
      <c r="E157" s="79" t="n">
        <v>0</v>
      </c>
      <c r="F157" s="63" t="n">
        <v>0</v>
      </c>
      <c r="G157" s="78" t="n">
        <v>0</v>
      </c>
      <c r="H157" s="78" t="n">
        <v>0</v>
      </c>
      <c r="I157" s="78" t="n">
        <v>0</v>
      </c>
      <c r="J157" s="78" t="n">
        <v>0</v>
      </c>
      <c r="K157" s="78" t="n">
        <v>0</v>
      </c>
      <c r="L157" s="78" t="n">
        <v>0</v>
      </c>
      <c r="M157" s="78" t="n">
        <v>0</v>
      </c>
      <c r="N157" s="78" t="n">
        <v>0</v>
      </c>
      <c r="O157" s="78" t="n">
        <v>0</v>
      </c>
      <c r="P157" s="80" t="n">
        <v>0</v>
      </c>
      <c r="Q157" s="72" t="n">
        <v>0</v>
      </c>
      <c r="R157" s="72" t="n">
        <v>0</v>
      </c>
      <c r="S157" s="73" t="n">
        <v>4440</v>
      </c>
      <c r="T157" s="72" t="n">
        <v>0</v>
      </c>
      <c r="U157" s="72" t="n">
        <v>0</v>
      </c>
      <c r="V157" s="72" t="n">
        <v>0</v>
      </c>
      <c r="W157" s="72" t="n">
        <v>0</v>
      </c>
      <c r="X157" s="72" t="n">
        <v>0</v>
      </c>
      <c r="Y157" s="72" t="n">
        <v>0</v>
      </c>
      <c r="Z157" s="72" t="n">
        <v>0</v>
      </c>
      <c r="AA157" s="72" t="n">
        <v>0</v>
      </c>
      <c r="AB157" s="72" t="n">
        <v>0</v>
      </c>
      <c r="AC157" s="72" t="n">
        <v>0</v>
      </c>
      <c r="AD157" s="72" t="n">
        <v>0</v>
      </c>
      <c r="AE157" s="74" t="n">
        <v>0</v>
      </c>
      <c r="AF157" s="75" t="n">
        <v>0</v>
      </c>
      <c r="AG157" s="81"/>
      <c r="AH157" s="71" t="s">
        <v>215</v>
      </c>
    </row>
    <row r="158" customFormat="false" ht="15.75" hidden="false" customHeight="true" outlineLevel="0" collapsed="false">
      <c r="A158" s="76" t="n">
        <v>46048</v>
      </c>
      <c r="B158" s="76" t="s">
        <v>216</v>
      </c>
      <c r="C158" s="77" t="s">
        <v>46</v>
      </c>
      <c r="D158" s="78" t="n">
        <v>600</v>
      </c>
      <c r="E158" s="79" t="n">
        <v>0</v>
      </c>
      <c r="F158" s="63" t="n">
        <v>0</v>
      </c>
      <c r="G158" s="78" t="n">
        <v>0</v>
      </c>
      <c r="H158" s="78" t="n">
        <v>0</v>
      </c>
      <c r="I158" s="78" t="n">
        <v>0</v>
      </c>
      <c r="J158" s="78" t="n">
        <v>0</v>
      </c>
      <c r="K158" s="78" t="n">
        <v>0</v>
      </c>
      <c r="L158" s="78" t="n">
        <v>0</v>
      </c>
      <c r="M158" s="78" t="n">
        <v>0</v>
      </c>
      <c r="N158" s="78" t="n">
        <v>0</v>
      </c>
      <c r="O158" s="78" t="n">
        <v>0</v>
      </c>
      <c r="P158" s="80" t="n">
        <v>0</v>
      </c>
      <c r="Q158" s="72" t="n">
        <v>0</v>
      </c>
      <c r="R158" s="73" t="n">
        <v>480</v>
      </c>
      <c r="S158" s="72" t="n">
        <v>0</v>
      </c>
      <c r="T158" s="72" t="n">
        <v>0</v>
      </c>
      <c r="U158" s="72" t="n">
        <v>0</v>
      </c>
      <c r="V158" s="72" t="n">
        <v>0</v>
      </c>
      <c r="W158" s="72" t="n">
        <v>0</v>
      </c>
      <c r="X158" s="72" t="n">
        <v>0</v>
      </c>
      <c r="Y158" s="72" t="n">
        <v>0</v>
      </c>
      <c r="Z158" s="72" t="n">
        <v>0</v>
      </c>
      <c r="AA158" s="72" t="n">
        <v>0</v>
      </c>
      <c r="AB158" s="72" t="n">
        <v>0</v>
      </c>
      <c r="AC158" s="72" t="n">
        <v>0</v>
      </c>
      <c r="AD158" s="72" t="n">
        <v>0</v>
      </c>
      <c r="AE158" s="74" t="n">
        <v>0</v>
      </c>
      <c r="AF158" s="75" t="n">
        <v>0</v>
      </c>
      <c r="AG158" s="81"/>
      <c r="AH158" s="71" t="s">
        <v>217</v>
      </c>
    </row>
    <row r="159" customFormat="false" ht="15.75" hidden="false" customHeight="true" outlineLevel="0" collapsed="false">
      <c r="A159" s="76" t="n">
        <v>46048</v>
      </c>
      <c r="B159" s="76" t="s">
        <v>74</v>
      </c>
      <c r="C159" s="77" t="s">
        <v>46</v>
      </c>
      <c r="D159" s="78" t="n">
        <v>600</v>
      </c>
      <c r="E159" s="79" t="n">
        <v>0</v>
      </c>
      <c r="F159" s="63" t="n">
        <v>0</v>
      </c>
      <c r="G159" s="78" t="n">
        <v>0</v>
      </c>
      <c r="H159" s="78" t="n">
        <v>0</v>
      </c>
      <c r="I159" s="78" t="n">
        <v>0</v>
      </c>
      <c r="J159" s="78" t="n">
        <v>0</v>
      </c>
      <c r="K159" s="78" t="n">
        <v>0</v>
      </c>
      <c r="L159" s="78" t="n">
        <v>0</v>
      </c>
      <c r="M159" s="78" t="n">
        <v>0</v>
      </c>
      <c r="N159" s="78" t="n">
        <v>0</v>
      </c>
      <c r="O159" s="78" t="n">
        <v>0</v>
      </c>
      <c r="P159" s="80" t="n">
        <v>0</v>
      </c>
      <c r="Q159" s="72" t="n">
        <v>0</v>
      </c>
      <c r="R159" s="72" t="n">
        <v>0</v>
      </c>
      <c r="S159" s="72" t="n">
        <v>0</v>
      </c>
      <c r="T159" s="72" t="n">
        <v>0</v>
      </c>
      <c r="U159" s="73" t="n">
        <v>480</v>
      </c>
      <c r="V159" s="72" t="n">
        <v>0</v>
      </c>
      <c r="W159" s="72" t="n">
        <v>0</v>
      </c>
      <c r="X159" s="72" t="n">
        <v>0</v>
      </c>
      <c r="Y159" s="72" t="n">
        <v>0</v>
      </c>
      <c r="Z159" s="72" t="n">
        <v>0</v>
      </c>
      <c r="AA159" s="72" t="n">
        <v>0</v>
      </c>
      <c r="AB159" s="72" t="n">
        <v>0</v>
      </c>
      <c r="AC159" s="72" t="n">
        <v>0</v>
      </c>
      <c r="AD159" s="72" t="n">
        <v>0</v>
      </c>
      <c r="AE159" s="74" t="n">
        <v>0</v>
      </c>
      <c r="AF159" s="75" t="n">
        <v>0</v>
      </c>
      <c r="AG159" s="81"/>
      <c r="AH159" s="71" t="s">
        <v>218</v>
      </c>
    </row>
    <row r="160" customFormat="false" ht="15.75" hidden="false" customHeight="true" outlineLevel="0" collapsed="false">
      <c r="A160" s="76" t="n">
        <v>46048</v>
      </c>
      <c r="B160" s="76" t="s">
        <v>74</v>
      </c>
      <c r="C160" s="77" t="s">
        <v>46</v>
      </c>
      <c r="D160" s="78" t="n">
        <v>0</v>
      </c>
      <c r="E160" s="79" t="n">
        <v>10900</v>
      </c>
      <c r="F160" s="63" t="n">
        <v>600</v>
      </c>
      <c r="G160" s="78" t="n">
        <v>0</v>
      </c>
      <c r="H160" s="78" t="n">
        <v>0</v>
      </c>
      <c r="I160" s="78" t="n">
        <v>3000</v>
      </c>
      <c r="J160" s="78" t="n">
        <v>6500</v>
      </c>
      <c r="K160" s="78" t="n">
        <v>1400</v>
      </c>
      <c r="L160" s="78" t="n">
        <v>0</v>
      </c>
      <c r="M160" s="78" t="n">
        <v>0</v>
      </c>
      <c r="N160" s="78" t="n">
        <v>0</v>
      </c>
      <c r="O160" s="78" t="n">
        <v>0</v>
      </c>
      <c r="P160" s="80" t="n">
        <v>0</v>
      </c>
      <c r="Q160" s="72" t="n">
        <v>0</v>
      </c>
      <c r="R160" s="72" t="n">
        <v>0</v>
      </c>
      <c r="S160" s="72" t="n">
        <v>0</v>
      </c>
      <c r="T160" s="72" t="n">
        <v>0</v>
      </c>
      <c r="U160" s="73" t="n">
        <v>5450</v>
      </c>
      <c r="V160" s="72" t="n">
        <v>0</v>
      </c>
      <c r="W160" s="72" t="n">
        <v>0</v>
      </c>
      <c r="X160" s="72" t="n">
        <v>0</v>
      </c>
      <c r="Y160" s="72" t="n">
        <v>0</v>
      </c>
      <c r="Z160" s="72" t="n">
        <v>0</v>
      </c>
      <c r="AA160" s="72" t="n">
        <v>0</v>
      </c>
      <c r="AB160" s="72" t="n">
        <v>0</v>
      </c>
      <c r="AC160" s="72" t="n">
        <v>0</v>
      </c>
      <c r="AD160" s="72" t="n">
        <v>0</v>
      </c>
      <c r="AE160" s="74" t="n">
        <v>0</v>
      </c>
      <c r="AF160" s="75" t="n">
        <v>0</v>
      </c>
      <c r="AG160" s="81"/>
      <c r="AH160" s="71" t="s">
        <v>218</v>
      </c>
    </row>
    <row r="161" customFormat="false" ht="15.75" hidden="false" customHeight="true" outlineLevel="0" collapsed="false">
      <c r="A161" s="76" t="n">
        <v>46048</v>
      </c>
      <c r="B161" s="76" t="s">
        <v>74</v>
      </c>
      <c r="C161" s="77" t="s">
        <v>48</v>
      </c>
      <c r="D161" s="78" t="n">
        <v>0</v>
      </c>
      <c r="E161" s="79" t="n">
        <v>0</v>
      </c>
      <c r="F161" s="63" t="n">
        <v>0</v>
      </c>
      <c r="G161" s="78" t="n">
        <v>0</v>
      </c>
      <c r="H161" s="78" t="n">
        <v>0</v>
      </c>
      <c r="I161" s="78" t="n">
        <v>0</v>
      </c>
      <c r="J161" s="78" t="n">
        <v>0</v>
      </c>
      <c r="K161" s="78" t="n">
        <v>0</v>
      </c>
      <c r="L161" s="78" t="n">
        <v>0</v>
      </c>
      <c r="M161" s="78" t="n">
        <v>0</v>
      </c>
      <c r="N161" s="78" t="n">
        <v>0</v>
      </c>
      <c r="O161" s="78" t="n">
        <v>0</v>
      </c>
      <c r="P161" s="80" t="n">
        <v>0</v>
      </c>
      <c r="Q161" s="72" t="n">
        <v>0</v>
      </c>
      <c r="R161" s="72" t="n">
        <v>0</v>
      </c>
      <c r="S161" s="72" t="n">
        <v>0</v>
      </c>
      <c r="T161" s="72" t="n">
        <v>0</v>
      </c>
      <c r="U161" s="73" t="n">
        <v>5450</v>
      </c>
      <c r="V161" s="72" t="n">
        <v>0</v>
      </c>
      <c r="W161" s="72" t="n">
        <v>0</v>
      </c>
      <c r="X161" s="72" t="n">
        <v>0</v>
      </c>
      <c r="Y161" s="72" t="n">
        <v>0</v>
      </c>
      <c r="Z161" s="72" t="n">
        <v>0</v>
      </c>
      <c r="AA161" s="72" t="n">
        <v>0</v>
      </c>
      <c r="AB161" s="72" t="n">
        <v>0</v>
      </c>
      <c r="AC161" s="72" t="n">
        <v>0</v>
      </c>
      <c r="AD161" s="72" t="n">
        <v>0</v>
      </c>
      <c r="AE161" s="74" t="n">
        <v>0</v>
      </c>
      <c r="AF161" s="75" t="n">
        <v>0</v>
      </c>
      <c r="AG161" s="81"/>
      <c r="AH161" s="71" t="s">
        <v>219</v>
      </c>
    </row>
    <row r="162" customFormat="false" ht="15.75" hidden="false" customHeight="true" outlineLevel="0" collapsed="false">
      <c r="A162" s="76" t="n">
        <v>46048</v>
      </c>
      <c r="B162" s="76" t="s">
        <v>220</v>
      </c>
      <c r="C162" s="77"/>
      <c r="D162" s="78" t="n">
        <v>0</v>
      </c>
      <c r="E162" s="79" t="n">
        <v>5600</v>
      </c>
      <c r="F162" s="63" t="n">
        <v>0</v>
      </c>
      <c r="G162" s="78" t="n">
        <v>0</v>
      </c>
      <c r="H162" s="78" t="n">
        <v>0</v>
      </c>
      <c r="I162" s="78" t="n">
        <v>0</v>
      </c>
      <c r="J162" s="78" t="n">
        <v>0</v>
      </c>
      <c r="K162" s="78" t="n">
        <v>5600</v>
      </c>
      <c r="L162" s="78" t="n">
        <v>0</v>
      </c>
      <c r="M162" s="78" t="n">
        <v>0</v>
      </c>
      <c r="N162" s="78" t="n">
        <v>0</v>
      </c>
      <c r="O162" s="78" t="n">
        <v>0</v>
      </c>
      <c r="P162" s="80" t="n">
        <v>0</v>
      </c>
      <c r="Q162" s="72" t="n">
        <v>0</v>
      </c>
      <c r="R162" s="73" t="n">
        <v>2000</v>
      </c>
      <c r="S162" s="72" t="n">
        <v>0</v>
      </c>
      <c r="T162" s="72" t="n">
        <v>0</v>
      </c>
      <c r="U162" s="72" t="n">
        <v>0</v>
      </c>
      <c r="V162" s="72" t="n">
        <v>0</v>
      </c>
      <c r="W162" s="72" t="n">
        <v>0</v>
      </c>
      <c r="X162" s="72" t="n">
        <v>0</v>
      </c>
      <c r="Y162" s="72" t="n">
        <v>0</v>
      </c>
      <c r="Z162" s="72" t="n">
        <v>0</v>
      </c>
      <c r="AA162" s="72" t="n">
        <v>0</v>
      </c>
      <c r="AB162" s="72" t="n">
        <v>0</v>
      </c>
      <c r="AC162" s="72" t="n">
        <v>0</v>
      </c>
      <c r="AD162" s="72" t="n">
        <v>0</v>
      </c>
      <c r="AE162" s="74" t="n">
        <v>3600</v>
      </c>
      <c r="AF162" s="75" t="n">
        <v>0</v>
      </c>
      <c r="AG162" s="81" t="s">
        <v>111</v>
      </c>
      <c r="AH162" s="71" t="s">
        <v>221</v>
      </c>
    </row>
    <row r="163" customFormat="false" ht="15.75" hidden="false" customHeight="true" outlineLevel="0" collapsed="false">
      <c r="A163" s="76" t="n">
        <v>46048</v>
      </c>
      <c r="B163" s="76" t="s">
        <v>222</v>
      </c>
      <c r="C163" s="77" t="s">
        <v>53</v>
      </c>
      <c r="D163" s="78" t="n">
        <v>0</v>
      </c>
      <c r="E163" s="79" t="n">
        <v>0</v>
      </c>
      <c r="F163" s="63" t="n">
        <v>0</v>
      </c>
      <c r="G163" s="78" t="n">
        <v>0</v>
      </c>
      <c r="H163" s="78" t="n">
        <v>0</v>
      </c>
      <c r="I163" s="78" t="n">
        <v>0</v>
      </c>
      <c r="J163" s="78" t="n">
        <v>0</v>
      </c>
      <c r="K163" s="78" t="n">
        <v>0</v>
      </c>
      <c r="L163" s="78" t="n">
        <v>0</v>
      </c>
      <c r="M163" s="78" t="n">
        <v>0</v>
      </c>
      <c r="N163" s="78" t="n">
        <v>0</v>
      </c>
      <c r="O163" s="78" t="n">
        <v>0</v>
      </c>
      <c r="P163" s="80" t="n">
        <v>0</v>
      </c>
      <c r="Q163" s="72" t="n">
        <v>0</v>
      </c>
      <c r="R163" s="72" t="n">
        <v>0</v>
      </c>
      <c r="S163" s="72" t="n">
        <v>0</v>
      </c>
      <c r="T163" s="72" t="n">
        <v>0</v>
      </c>
      <c r="U163" s="72" t="n">
        <v>0</v>
      </c>
      <c r="V163" s="72" t="n">
        <v>0</v>
      </c>
      <c r="W163" s="72" t="n">
        <v>0</v>
      </c>
      <c r="X163" s="73" t="n">
        <v>2102</v>
      </c>
      <c r="Y163" s="72" t="n">
        <v>0</v>
      </c>
      <c r="Z163" s="72" t="n">
        <v>0</v>
      </c>
      <c r="AA163" s="72" t="n">
        <v>0</v>
      </c>
      <c r="AB163" s="72" t="n">
        <v>0</v>
      </c>
      <c r="AC163" s="72" t="n">
        <v>0</v>
      </c>
      <c r="AD163" s="72" t="n">
        <v>0</v>
      </c>
      <c r="AE163" s="74" t="n">
        <v>0</v>
      </c>
      <c r="AF163" s="75" t="n">
        <v>0</v>
      </c>
      <c r="AG163" s="81"/>
      <c r="AH163" s="71"/>
    </row>
    <row r="164" customFormat="false" ht="15.75" hidden="false" customHeight="true" outlineLevel="0" collapsed="false">
      <c r="A164" s="76" t="n">
        <v>46048</v>
      </c>
      <c r="B164" s="76" t="s">
        <v>223</v>
      </c>
      <c r="C164" s="77" t="s">
        <v>53</v>
      </c>
      <c r="D164" s="78" t="n">
        <v>0</v>
      </c>
      <c r="E164" s="79" t="n">
        <v>0</v>
      </c>
      <c r="F164" s="63" t="n">
        <v>0</v>
      </c>
      <c r="G164" s="78" t="n">
        <v>0</v>
      </c>
      <c r="H164" s="78" t="n">
        <v>0</v>
      </c>
      <c r="I164" s="78" t="n">
        <v>0</v>
      </c>
      <c r="J164" s="78" t="n">
        <v>0</v>
      </c>
      <c r="K164" s="78" t="n">
        <v>0</v>
      </c>
      <c r="L164" s="78" t="n">
        <v>0</v>
      </c>
      <c r="M164" s="78" t="n">
        <v>0</v>
      </c>
      <c r="N164" s="78" t="n">
        <v>0</v>
      </c>
      <c r="O164" s="78" t="n">
        <v>0</v>
      </c>
      <c r="P164" s="80" t="n">
        <v>0</v>
      </c>
      <c r="Q164" s="72" t="n">
        <v>0</v>
      </c>
      <c r="R164" s="72" t="n">
        <v>0</v>
      </c>
      <c r="S164" s="72" t="n">
        <v>0</v>
      </c>
      <c r="T164" s="72" t="n">
        <v>0</v>
      </c>
      <c r="U164" s="72" t="n">
        <v>0</v>
      </c>
      <c r="V164" s="72" t="n">
        <v>0</v>
      </c>
      <c r="W164" s="72" t="n">
        <v>0</v>
      </c>
      <c r="X164" s="73" t="n">
        <v>1640</v>
      </c>
      <c r="Y164" s="72" t="n">
        <v>0</v>
      </c>
      <c r="Z164" s="72" t="n">
        <v>0</v>
      </c>
      <c r="AA164" s="72" t="n">
        <v>0</v>
      </c>
      <c r="AB164" s="72" t="n">
        <v>0</v>
      </c>
      <c r="AC164" s="72" t="n">
        <v>0</v>
      </c>
      <c r="AD164" s="72" t="n">
        <v>0</v>
      </c>
      <c r="AE164" s="74" t="n">
        <v>0</v>
      </c>
      <c r="AF164" s="75" t="n">
        <v>0</v>
      </c>
      <c r="AG164" s="81"/>
      <c r="AH164" s="71"/>
    </row>
    <row r="165" customFormat="false" ht="15.75" hidden="false" customHeight="true" outlineLevel="0" collapsed="false">
      <c r="A165" s="76" t="n">
        <v>46048</v>
      </c>
      <c r="B165" s="76" t="s">
        <v>112</v>
      </c>
      <c r="C165" s="77" t="s">
        <v>53</v>
      </c>
      <c r="D165" s="78" t="n">
        <v>0</v>
      </c>
      <c r="E165" s="79" t="n">
        <v>0</v>
      </c>
      <c r="F165" s="63" t="n">
        <v>0</v>
      </c>
      <c r="G165" s="78" t="n">
        <v>0</v>
      </c>
      <c r="H165" s="78" t="n">
        <v>0</v>
      </c>
      <c r="I165" s="78" t="n">
        <v>0</v>
      </c>
      <c r="J165" s="78" t="n">
        <v>0</v>
      </c>
      <c r="K165" s="78" t="n">
        <v>0</v>
      </c>
      <c r="L165" s="78" t="n">
        <v>0</v>
      </c>
      <c r="M165" s="78" t="n">
        <v>0</v>
      </c>
      <c r="N165" s="78" t="n">
        <v>0</v>
      </c>
      <c r="O165" s="78" t="n">
        <v>0</v>
      </c>
      <c r="P165" s="80" t="n">
        <v>0</v>
      </c>
      <c r="Q165" s="72" t="n">
        <v>0</v>
      </c>
      <c r="R165" s="72" t="n">
        <v>0</v>
      </c>
      <c r="S165" s="72" t="n">
        <v>0</v>
      </c>
      <c r="T165" s="72" t="n">
        <v>0</v>
      </c>
      <c r="U165" s="72" t="n">
        <v>0</v>
      </c>
      <c r="V165" s="72" t="n">
        <v>0</v>
      </c>
      <c r="W165" s="72" t="n">
        <v>0</v>
      </c>
      <c r="X165" s="73" t="n">
        <v>1789.6</v>
      </c>
      <c r="Y165" s="72" t="n">
        <v>0</v>
      </c>
      <c r="Z165" s="72" t="n">
        <v>0</v>
      </c>
      <c r="AA165" s="72" t="n">
        <v>0</v>
      </c>
      <c r="AB165" s="72" t="n">
        <v>0</v>
      </c>
      <c r="AC165" s="72" t="n">
        <v>0</v>
      </c>
      <c r="AD165" s="72" t="n">
        <v>0</v>
      </c>
      <c r="AE165" s="74" t="n">
        <v>0</v>
      </c>
      <c r="AF165" s="75" t="n">
        <v>0</v>
      </c>
      <c r="AG165" s="81"/>
      <c r="AH165" s="71"/>
    </row>
    <row r="166" customFormat="false" ht="15.75" hidden="false" customHeight="true" outlineLevel="0" collapsed="false">
      <c r="A166" s="76" t="n">
        <v>46048</v>
      </c>
      <c r="B166" s="76" t="s">
        <v>52</v>
      </c>
      <c r="C166" s="77" t="s">
        <v>46</v>
      </c>
      <c r="D166" s="78" t="n">
        <v>0</v>
      </c>
      <c r="E166" s="79" t="n">
        <v>4200</v>
      </c>
      <c r="F166" s="63" t="n">
        <v>0</v>
      </c>
      <c r="G166" s="78" t="n">
        <v>0</v>
      </c>
      <c r="H166" s="78" t="n">
        <v>0</v>
      </c>
      <c r="I166" s="78" t="n">
        <v>0</v>
      </c>
      <c r="J166" s="78" t="n">
        <v>0</v>
      </c>
      <c r="K166" s="78" t="n">
        <v>4200</v>
      </c>
      <c r="L166" s="78" t="n">
        <v>0</v>
      </c>
      <c r="M166" s="78" t="n">
        <v>0</v>
      </c>
      <c r="N166" s="78" t="n">
        <v>0</v>
      </c>
      <c r="O166" s="78" t="n">
        <v>0</v>
      </c>
      <c r="P166" s="80" t="n">
        <v>0</v>
      </c>
      <c r="Q166" s="72" t="n">
        <v>0</v>
      </c>
      <c r="R166" s="72" t="n">
        <v>0</v>
      </c>
      <c r="S166" s="72" t="n">
        <v>0</v>
      </c>
      <c r="T166" s="72" t="n">
        <v>0</v>
      </c>
      <c r="U166" s="72" t="n">
        <v>0</v>
      </c>
      <c r="V166" s="72" t="n">
        <v>0</v>
      </c>
      <c r="W166" s="72" t="n">
        <v>0</v>
      </c>
      <c r="X166" s="72" t="n">
        <v>0</v>
      </c>
      <c r="Y166" s="72" t="n">
        <v>0</v>
      </c>
      <c r="Z166" s="72" t="n">
        <v>0</v>
      </c>
      <c r="AA166" s="72" t="n">
        <v>0</v>
      </c>
      <c r="AB166" s="72" t="n">
        <v>0</v>
      </c>
      <c r="AC166" s="72" t="n">
        <v>0</v>
      </c>
      <c r="AD166" s="72" t="n">
        <v>0</v>
      </c>
      <c r="AE166" s="74" t="n">
        <v>4200</v>
      </c>
      <c r="AF166" s="75" t="n">
        <v>0</v>
      </c>
      <c r="AG166" s="81" t="s">
        <v>111</v>
      </c>
      <c r="AH166" s="71"/>
    </row>
    <row r="167" customFormat="false" ht="15.75" hidden="false" customHeight="true" outlineLevel="0" collapsed="false">
      <c r="A167" s="76" t="n">
        <v>46049</v>
      </c>
      <c r="B167" s="76" t="s">
        <v>224</v>
      </c>
      <c r="C167" s="77" t="s">
        <v>46</v>
      </c>
      <c r="D167" s="78" t="n">
        <v>600</v>
      </c>
      <c r="E167" s="79" t="n">
        <v>0</v>
      </c>
      <c r="F167" s="63" t="n">
        <v>0</v>
      </c>
      <c r="G167" s="78" t="n">
        <v>0</v>
      </c>
      <c r="H167" s="78" t="n">
        <v>0</v>
      </c>
      <c r="I167" s="78" t="n">
        <v>0</v>
      </c>
      <c r="J167" s="78" t="n">
        <v>0</v>
      </c>
      <c r="K167" s="78" t="n">
        <v>0</v>
      </c>
      <c r="L167" s="78" t="n">
        <v>0</v>
      </c>
      <c r="M167" s="78" t="n">
        <v>0</v>
      </c>
      <c r="N167" s="78" t="n">
        <v>0</v>
      </c>
      <c r="O167" s="78" t="n">
        <v>0</v>
      </c>
      <c r="P167" s="80" t="n">
        <v>0</v>
      </c>
      <c r="Q167" s="72" t="n">
        <v>0</v>
      </c>
      <c r="R167" s="73" t="n">
        <v>600</v>
      </c>
      <c r="S167" s="72" t="n">
        <v>0</v>
      </c>
      <c r="T167" s="72" t="n">
        <v>0</v>
      </c>
      <c r="U167" s="72" t="n">
        <v>0</v>
      </c>
      <c r="V167" s="72" t="n">
        <v>0</v>
      </c>
      <c r="W167" s="72" t="n">
        <v>0</v>
      </c>
      <c r="X167" s="72" t="n">
        <v>0</v>
      </c>
      <c r="Y167" s="72" t="n">
        <v>0</v>
      </c>
      <c r="Z167" s="72" t="n">
        <v>0</v>
      </c>
      <c r="AA167" s="72" t="n">
        <v>0</v>
      </c>
      <c r="AB167" s="72" t="n">
        <v>0</v>
      </c>
      <c r="AC167" s="72" t="n">
        <v>0</v>
      </c>
      <c r="AD167" s="72" t="n">
        <v>0</v>
      </c>
      <c r="AE167" s="74" t="n">
        <v>0</v>
      </c>
      <c r="AF167" s="75" t="n">
        <v>0</v>
      </c>
      <c r="AG167" s="81"/>
      <c r="AH167" s="71" t="s">
        <v>225</v>
      </c>
    </row>
    <row r="168" customFormat="false" ht="15.75" hidden="false" customHeight="true" outlineLevel="0" collapsed="false">
      <c r="A168" s="76" t="n">
        <v>46049</v>
      </c>
      <c r="B168" s="76" t="s">
        <v>226</v>
      </c>
      <c r="C168" s="77" t="s">
        <v>48</v>
      </c>
      <c r="D168" s="78" t="n">
        <v>0</v>
      </c>
      <c r="E168" s="79" t="n">
        <v>0</v>
      </c>
      <c r="F168" s="63" t="n">
        <v>0</v>
      </c>
      <c r="G168" s="78" t="n">
        <v>0</v>
      </c>
      <c r="H168" s="78" t="n">
        <v>0</v>
      </c>
      <c r="I168" s="78" t="n">
        <v>0</v>
      </c>
      <c r="J168" s="78" t="n">
        <v>0</v>
      </c>
      <c r="K168" s="78" t="n">
        <v>0</v>
      </c>
      <c r="L168" s="78" t="n">
        <v>0</v>
      </c>
      <c r="M168" s="78" t="n">
        <v>0</v>
      </c>
      <c r="N168" s="78" t="n">
        <v>0</v>
      </c>
      <c r="O168" s="78" t="n">
        <v>0</v>
      </c>
      <c r="P168" s="80" t="n">
        <v>0</v>
      </c>
      <c r="Q168" s="72" t="n">
        <v>0</v>
      </c>
      <c r="R168" s="72" t="n">
        <v>0</v>
      </c>
      <c r="S168" s="72" t="n">
        <v>0</v>
      </c>
      <c r="T168" s="72" t="n">
        <v>0</v>
      </c>
      <c r="U168" s="72" t="n">
        <v>0</v>
      </c>
      <c r="V168" s="73" t="n">
        <v>120</v>
      </c>
      <c r="W168" s="72" t="n">
        <v>0</v>
      </c>
      <c r="X168" s="72" t="n">
        <v>0</v>
      </c>
      <c r="Y168" s="72" t="n">
        <v>0</v>
      </c>
      <c r="Z168" s="72" t="n">
        <v>0</v>
      </c>
      <c r="AA168" s="72" t="n">
        <v>0</v>
      </c>
      <c r="AB168" s="72" t="n">
        <v>0</v>
      </c>
      <c r="AC168" s="72" t="n">
        <v>0</v>
      </c>
      <c r="AD168" s="72" t="n">
        <v>0</v>
      </c>
      <c r="AE168" s="74" t="n">
        <v>0</v>
      </c>
      <c r="AF168" s="75" t="n">
        <v>0</v>
      </c>
      <c r="AG168" s="81"/>
      <c r="AH168" s="71"/>
    </row>
    <row r="169" customFormat="false" ht="15.75" hidden="false" customHeight="true" outlineLevel="0" collapsed="false">
      <c r="A169" s="76" t="n">
        <v>46049</v>
      </c>
      <c r="B169" s="76" t="s">
        <v>224</v>
      </c>
      <c r="C169" s="77" t="s">
        <v>46</v>
      </c>
      <c r="D169" s="78" t="n">
        <v>0</v>
      </c>
      <c r="E169" s="79" t="n">
        <v>9403.2</v>
      </c>
      <c r="F169" s="63" t="n">
        <v>1044.8</v>
      </c>
      <c r="G169" s="78" t="n">
        <v>450</v>
      </c>
      <c r="H169" s="78" t="n">
        <v>3553.2</v>
      </c>
      <c r="I169" s="78" t="n">
        <v>0</v>
      </c>
      <c r="J169" s="78" t="n">
        <v>5400</v>
      </c>
      <c r="K169" s="78" t="n">
        <v>0</v>
      </c>
      <c r="L169" s="78" t="n">
        <v>0</v>
      </c>
      <c r="M169" s="78" t="n">
        <v>0</v>
      </c>
      <c r="N169" s="78" t="n">
        <v>0</v>
      </c>
      <c r="O169" s="78" t="n">
        <v>0</v>
      </c>
      <c r="P169" s="80" t="n">
        <v>0</v>
      </c>
      <c r="Q169" s="72" t="n">
        <v>0</v>
      </c>
      <c r="R169" s="72" t="n">
        <v>0</v>
      </c>
      <c r="S169" s="72" t="n">
        <v>0</v>
      </c>
      <c r="T169" s="72" t="n">
        <v>0</v>
      </c>
      <c r="U169" s="73" t="n">
        <v>5403.2</v>
      </c>
      <c r="V169" s="73" t="n">
        <v>4000</v>
      </c>
      <c r="W169" s="72" t="n">
        <v>0</v>
      </c>
      <c r="X169" s="72" t="n">
        <v>0</v>
      </c>
      <c r="Y169" s="72" t="n">
        <v>0</v>
      </c>
      <c r="Z169" s="72" t="n">
        <v>0</v>
      </c>
      <c r="AA169" s="72" t="n">
        <v>0</v>
      </c>
      <c r="AB169" s="72" t="n">
        <v>0</v>
      </c>
      <c r="AC169" s="72" t="n">
        <v>0</v>
      </c>
      <c r="AD169" s="72" t="n">
        <v>0</v>
      </c>
      <c r="AE169" s="74" t="n">
        <v>0</v>
      </c>
      <c r="AF169" s="75" t="n">
        <v>0</v>
      </c>
      <c r="AG169" s="81"/>
      <c r="AH169" s="71" t="s">
        <v>227</v>
      </c>
    </row>
    <row r="170" customFormat="false" ht="15.75" hidden="false" customHeight="true" outlineLevel="0" collapsed="false">
      <c r="A170" s="76" t="n">
        <v>46049</v>
      </c>
      <c r="B170" s="76" t="s">
        <v>228</v>
      </c>
      <c r="C170" s="77" t="s">
        <v>46</v>
      </c>
      <c r="D170" s="78" t="n">
        <v>600</v>
      </c>
      <c r="E170" s="79" t="n">
        <v>0</v>
      </c>
      <c r="F170" s="63" t="n">
        <v>0</v>
      </c>
      <c r="G170" s="78" t="n">
        <v>0</v>
      </c>
      <c r="H170" s="78" t="n">
        <v>0</v>
      </c>
      <c r="I170" s="78" t="n">
        <v>0</v>
      </c>
      <c r="J170" s="78" t="n">
        <v>0</v>
      </c>
      <c r="K170" s="78" t="n">
        <v>0</v>
      </c>
      <c r="L170" s="78" t="n">
        <v>0</v>
      </c>
      <c r="M170" s="78" t="n">
        <v>0</v>
      </c>
      <c r="N170" s="78" t="n">
        <v>0</v>
      </c>
      <c r="O170" s="78" t="n">
        <v>0</v>
      </c>
      <c r="P170" s="80" t="n">
        <v>0</v>
      </c>
      <c r="Q170" s="72" t="n">
        <v>0</v>
      </c>
      <c r="R170" s="73" t="n">
        <v>600</v>
      </c>
      <c r="S170" s="72" t="n">
        <v>0</v>
      </c>
      <c r="T170" s="72" t="n">
        <v>0</v>
      </c>
      <c r="U170" s="72" t="n">
        <v>0</v>
      </c>
      <c r="V170" s="72" t="n">
        <v>0</v>
      </c>
      <c r="W170" s="72" t="n">
        <v>0</v>
      </c>
      <c r="X170" s="72" t="n">
        <v>0</v>
      </c>
      <c r="Y170" s="72" t="n">
        <v>0</v>
      </c>
      <c r="Z170" s="72" t="n">
        <v>0</v>
      </c>
      <c r="AA170" s="72" t="n">
        <v>0</v>
      </c>
      <c r="AB170" s="72" t="n">
        <v>0</v>
      </c>
      <c r="AC170" s="72" t="n">
        <v>0</v>
      </c>
      <c r="AD170" s="72" t="n">
        <v>0</v>
      </c>
      <c r="AE170" s="74" t="n">
        <v>0</v>
      </c>
      <c r="AF170" s="75" t="n">
        <v>0</v>
      </c>
      <c r="AG170" s="81"/>
      <c r="AH170" s="71" t="s">
        <v>229</v>
      </c>
    </row>
    <row r="171" customFormat="false" ht="15.75" hidden="false" customHeight="true" outlineLevel="0" collapsed="false">
      <c r="A171" s="76" t="n">
        <v>46049</v>
      </c>
      <c r="B171" s="76" t="s">
        <v>230</v>
      </c>
      <c r="C171" s="77" t="s">
        <v>46</v>
      </c>
      <c r="D171" s="78" t="n">
        <v>0</v>
      </c>
      <c r="E171" s="79" t="n">
        <v>1200</v>
      </c>
      <c r="F171" s="63" t="n">
        <v>0</v>
      </c>
      <c r="G171" s="78" t="n">
        <v>0</v>
      </c>
      <c r="H171" s="78" t="n">
        <v>0</v>
      </c>
      <c r="I171" s="78" t="n">
        <v>0</v>
      </c>
      <c r="J171" s="78" t="n">
        <v>0</v>
      </c>
      <c r="K171" s="78" t="n">
        <v>0</v>
      </c>
      <c r="L171" s="78" t="n">
        <v>1200</v>
      </c>
      <c r="M171" s="78" t="n">
        <v>0</v>
      </c>
      <c r="N171" s="78" t="n">
        <v>0</v>
      </c>
      <c r="O171" s="78" t="n">
        <v>0</v>
      </c>
      <c r="P171" s="80" t="n">
        <v>0</v>
      </c>
      <c r="Q171" s="72" t="n">
        <v>0</v>
      </c>
      <c r="R171" s="72" t="n">
        <v>0</v>
      </c>
      <c r="S171" s="73" t="n">
        <v>1200</v>
      </c>
      <c r="T171" s="72" t="n">
        <v>0</v>
      </c>
      <c r="U171" s="72" t="n">
        <v>0</v>
      </c>
      <c r="V171" s="72" t="n">
        <v>0</v>
      </c>
      <c r="W171" s="72" t="n">
        <v>0</v>
      </c>
      <c r="X171" s="72" t="n">
        <v>0</v>
      </c>
      <c r="Y171" s="72" t="n">
        <v>0</v>
      </c>
      <c r="Z171" s="72" t="n">
        <v>0</v>
      </c>
      <c r="AA171" s="72" t="n">
        <v>0</v>
      </c>
      <c r="AB171" s="72" t="n">
        <v>0</v>
      </c>
      <c r="AC171" s="72" t="n">
        <v>0</v>
      </c>
      <c r="AD171" s="72" t="n">
        <v>0</v>
      </c>
      <c r="AE171" s="74" t="n">
        <v>0</v>
      </c>
      <c r="AF171" s="75" t="n">
        <v>0</v>
      </c>
      <c r="AG171" s="81"/>
      <c r="AH171" s="71" t="s">
        <v>231</v>
      </c>
    </row>
    <row r="172" customFormat="false" ht="15.75" hidden="false" customHeight="true" outlineLevel="0" collapsed="false">
      <c r="A172" s="76" t="n">
        <v>46049</v>
      </c>
      <c r="B172" s="76" t="s">
        <v>230</v>
      </c>
      <c r="C172" s="77"/>
      <c r="D172" s="78" t="n">
        <v>0</v>
      </c>
      <c r="E172" s="79" t="n">
        <v>5160</v>
      </c>
      <c r="F172" s="63" t="n">
        <v>0</v>
      </c>
      <c r="G172" s="78" t="n">
        <v>0</v>
      </c>
      <c r="H172" s="78" t="n">
        <v>0</v>
      </c>
      <c r="I172" s="78" t="n">
        <v>0</v>
      </c>
      <c r="J172" s="78" t="n">
        <v>0</v>
      </c>
      <c r="K172" s="78" t="n">
        <v>5160</v>
      </c>
      <c r="L172" s="78" t="n">
        <v>0</v>
      </c>
      <c r="M172" s="78" t="n">
        <v>0</v>
      </c>
      <c r="N172" s="78" t="n">
        <v>0</v>
      </c>
      <c r="O172" s="78" t="n">
        <v>0</v>
      </c>
      <c r="P172" s="80" t="n">
        <v>0</v>
      </c>
      <c r="Q172" s="72" t="n">
        <v>0</v>
      </c>
      <c r="R172" s="72" t="n">
        <v>0</v>
      </c>
      <c r="S172" s="73" t="n">
        <v>5160</v>
      </c>
      <c r="T172" s="72" t="n">
        <v>0</v>
      </c>
      <c r="U172" s="72" t="n">
        <v>0</v>
      </c>
      <c r="V172" s="72" t="n">
        <v>0</v>
      </c>
      <c r="W172" s="72" t="n">
        <v>0</v>
      </c>
      <c r="X172" s="72" t="n">
        <v>0</v>
      </c>
      <c r="Y172" s="72" t="n">
        <v>0</v>
      </c>
      <c r="Z172" s="72" t="n">
        <v>0</v>
      </c>
      <c r="AA172" s="72" t="n">
        <v>0</v>
      </c>
      <c r="AB172" s="72" t="n">
        <v>0</v>
      </c>
      <c r="AC172" s="72" t="n">
        <v>0</v>
      </c>
      <c r="AD172" s="72" t="n">
        <v>0</v>
      </c>
      <c r="AE172" s="74" t="n">
        <v>0</v>
      </c>
      <c r="AF172" s="75" t="n">
        <v>0</v>
      </c>
      <c r="AG172" s="81"/>
      <c r="AH172" s="71" t="s">
        <v>231</v>
      </c>
    </row>
    <row r="173" customFormat="false" ht="15.75" hidden="false" customHeight="true" outlineLevel="0" collapsed="false">
      <c r="A173" s="76" t="n">
        <v>46049</v>
      </c>
      <c r="B173" s="76" t="s">
        <v>68</v>
      </c>
      <c r="C173" s="77" t="s">
        <v>46</v>
      </c>
      <c r="D173" s="78" t="n">
        <v>600</v>
      </c>
      <c r="E173" s="79" t="n">
        <v>0</v>
      </c>
      <c r="F173" s="63" t="n">
        <v>0</v>
      </c>
      <c r="G173" s="78" t="n">
        <v>0</v>
      </c>
      <c r="H173" s="78" t="n">
        <v>0</v>
      </c>
      <c r="I173" s="78" t="n">
        <v>0</v>
      </c>
      <c r="J173" s="78" t="n">
        <v>0</v>
      </c>
      <c r="K173" s="78" t="n">
        <v>0</v>
      </c>
      <c r="L173" s="78" t="n">
        <v>0</v>
      </c>
      <c r="M173" s="78" t="n">
        <v>0</v>
      </c>
      <c r="N173" s="78" t="n">
        <v>0</v>
      </c>
      <c r="O173" s="78" t="n">
        <v>0</v>
      </c>
      <c r="P173" s="80" t="n">
        <v>0</v>
      </c>
      <c r="Q173" s="72" t="n">
        <v>0</v>
      </c>
      <c r="R173" s="72" t="n">
        <v>0</v>
      </c>
      <c r="S173" s="72" t="n">
        <v>0</v>
      </c>
      <c r="T173" s="72" t="n">
        <v>0</v>
      </c>
      <c r="U173" s="73" t="n">
        <v>480</v>
      </c>
      <c r="V173" s="72" t="n">
        <v>0</v>
      </c>
      <c r="W173" s="72" t="n">
        <v>0</v>
      </c>
      <c r="X173" s="72" t="n">
        <v>0</v>
      </c>
      <c r="Y173" s="72" t="n">
        <v>0</v>
      </c>
      <c r="Z173" s="72" t="n">
        <v>0</v>
      </c>
      <c r="AA173" s="72" t="n">
        <v>0</v>
      </c>
      <c r="AB173" s="72" t="n">
        <v>0</v>
      </c>
      <c r="AC173" s="72" t="n">
        <v>0</v>
      </c>
      <c r="AD173" s="72" t="n">
        <v>0</v>
      </c>
      <c r="AE173" s="74" t="n">
        <v>0</v>
      </c>
      <c r="AF173" s="75" t="n">
        <v>0</v>
      </c>
      <c r="AG173" s="81"/>
      <c r="AH173" s="71" t="s">
        <v>232</v>
      </c>
    </row>
    <row r="174" customFormat="false" ht="15.75" hidden="false" customHeight="true" outlineLevel="0" collapsed="false">
      <c r="A174" s="76" t="n">
        <v>46049</v>
      </c>
      <c r="B174" s="76" t="s">
        <v>233</v>
      </c>
      <c r="C174" s="77" t="s">
        <v>46</v>
      </c>
      <c r="D174" s="78" t="n">
        <v>0</v>
      </c>
      <c r="E174" s="79" t="n">
        <v>6000</v>
      </c>
      <c r="F174" s="63" t="n">
        <v>0</v>
      </c>
      <c r="G174" s="78" t="n">
        <v>0</v>
      </c>
      <c r="H174" s="78" t="n">
        <v>0</v>
      </c>
      <c r="I174" s="78" t="n">
        <v>0</v>
      </c>
      <c r="J174" s="78" t="n">
        <v>6000</v>
      </c>
      <c r="K174" s="78" t="n">
        <v>0</v>
      </c>
      <c r="L174" s="78" t="n">
        <v>0</v>
      </c>
      <c r="M174" s="78" t="n">
        <v>0</v>
      </c>
      <c r="N174" s="78" t="n">
        <v>0</v>
      </c>
      <c r="O174" s="78" t="n">
        <v>0</v>
      </c>
      <c r="P174" s="80" t="n">
        <v>0</v>
      </c>
      <c r="Q174" s="72" t="n">
        <v>0</v>
      </c>
      <c r="R174" s="72" t="n">
        <v>0</v>
      </c>
      <c r="S174" s="72" t="n">
        <v>0</v>
      </c>
      <c r="T174" s="72" t="n">
        <v>0</v>
      </c>
      <c r="U174" s="73" t="n">
        <v>6000</v>
      </c>
      <c r="V174" s="72" t="n">
        <v>0</v>
      </c>
      <c r="W174" s="72" t="n">
        <v>0</v>
      </c>
      <c r="X174" s="72" t="n">
        <v>0</v>
      </c>
      <c r="Y174" s="72" t="n">
        <v>0</v>
      </c>
      <c r="Z174" s="72" t="n">
        <v>0</v>
      </c>
      <c r="AA174" s="72" t="n">
        <v>0</v>
      </c>
      <c r="AB174" s="72" t="n">
        <v>0</v>
      </c>
      <c r="AC174" s="72" t="n">
        <v>0</v>
      </c>
      <c r="AD174" s="72" t="n">
        <v>0</v>
      </c>
      <c r="AE174" s="74" t="n">
        <v>0</v>
      </c>
      <c r="AF174" s="75" t="n">
        <v>0</v>
      </c>
      <c r="AG174" s="81"/>
      <c r="AH174" s="71" t="s">
        <v>234</v>
      </c>
    </row>
    <row r="175" customFormat="false" ht="15.75" hidden="false" customHeight="true" outlineLevel="0" collapsed="false">
      <c r="A175" s="76" t="n">
        <v>46050</v>
      </c>
      <c r="B175" s="76" t="s">
        <v>235</v>
      </c>
      <c r="C175" s="77" t="s">
        <v>46</v>
      </c>
      <c r="D175" s="78" t="n">
        <v>0</v>
      </c>
      <c r="E175" s="79" t="n">
        <v>8144.1</v>
      </c>
      <c r="F175" s="63" t="n">
        <v>904.9</v>
      </c>
      <c r="G175" s="78" t="n">
        <v>0</v>
      </c>
      <c r="H175" s="78" t="n">
        <v>2744.1</v>
      </c>
      <c r="I175" s="78" t="n">
        <v>0</v>
      </c>
      <c r="J175" s="78" t="n">
        <v>5400</v>
      </c>
      <c r="K175" s="78" t="n">
        <v>0</v>
      </c>
      <c r="L175" s="78" t="n">
        <v>0</v>
      </c>
      <c r="M175" s="78" t="n">
        <v>0</v>
      </c>
      <c r="N175" s="78" t="n">
        <v>0</v>
      </c>
      <c r="O175" s="78" t="n">
        <v>0</v>
      </c>
      <c r="P175" s="80" t="n">
        <v>0</v>
      </c>
      <c r="Q175" s="72" t="n">
        <v>0</v>
      </c>
      <c r="R175" s="72" t="n">
        <v>0</v>
      </c>
      <c r="S175" s="72" t="n">
        <v>0</v>
      </c>
      <c r="T175" s="72" t="n">
        <v>0</v>
      </c>
      <c r="U175" s="73" t="n">
        <v>4144.1</v>
      </c>
      <c r="V175" s="72" t="n">
        <v>0</v>
      </c>
      <c r="W175" s="72" t="n">
        <v>0</v>
      </c>
      <c r="X175" s="72" t="n">
        <v>0</v>
      </c>
      <c r="Y175" s="72" t="n">
        <v>0</v>
      </c>
      <c r="Z175" s="72" t="n">
        <v>0</v>
      </c>
      <c r="AA175" s="72" t="n">
        <v>0</v>
      </c>
      <c r="AB175" s="72" t="n">
        <v>0</v>
      </c>
      <c r="AC175" s="72" t="n">
        <v>0</v>
      </c>
      <c r="AD175" s="72" t="n">
        <v>0</v>
      </c>
      <c r="AE175" s="74" t="n">
        <v>0</v>
      </c>
      <c r="AF175" s="75" t="n">
        <v>0</v>
      </c>
      <c r="AG175" s="81"/>
      <c r="AH175" s="71" t="s">
        <v>236</v>
      </c>
    </row>
    <row r="176" customFormat="false" ht="15.75" hidden="false" customHeight="true" outlineLevel="0" collapsed="false">
      <c r="A176" s="76" t="n">
        <v>46050</v>
      </c>
      <c r="B176" s="76" t="s">
        <v>235</v>
      </c>
      <c r="C176" s="77" t="s">
        <v>48</v>
      </c>
      <c r="D176" s="78" t="n">
        <v>0</v>
      </c>
      <c r="E176" s="79" t="n">
        <v>0</v>
      </c>
      <c r="F176" s="63" t="n">
        <v>0</v>
      </c>
      <c r="G176" s="78" t="n">
        <v>0</v>
      </c>
      <c r="H176" s="78" t="n">
        <v>0</v>
      </c>
      <c r="I176" s="78" t="n">
        <v>0</v>
      </c>
      <c r="J176" s="78" t="n">
        <v>0</v>
      </c>
      <c r="K176" s="78" t="n">
        <v>0</v>
      </c>
      <c r="L176" s="78" t="n">
        <v>0</v>
      </c>
      <c r="M176" s="78" t="n">
        <v>0</v>
      </c>
      <c r="N176" s="78" t="n">
        <v>0</v>
      </c>
      <c r="O176" s="78" t="n">
        <v>0</v>
      </c>
      <c r="P176" s="80" t="n">
        <v>0</v>
      </c>
      <c r="Q176" s="72" t="n">
        <v>0</v>
      </c>
      <c r="R176" s="72" t="n">
        <v>0</v>
      </c>
      <c r="S176" s="72" t="n">
        <v>0</v>
      </c>
      <c r="T176" s="72" t="n">
        <v>0</v>
      </c>
      <c r="U176" s="73" t="n">
        <v>2000</v>
      </c>
      <c r="V176" s="72" t="n">
        <v>0</v>
      </c>
      <c r="W176" s="72" t="n">
        <v>0</v>
      </c>
      <c r="X176" s="72" t="n">
        <v>0</v>
      </c>
      <c r="Y176" s="72" t="n">
        <v>0</v>
      </c>
      <c r="Z176" s="72" t="n">
        <v>0</v>
      </c>
      <c r="AA176" s="72" t="n">
        <v>0</v>
      </c>
      <c r="AB176" s="72" t="n">
        <v>0</v>
      </c>
      <c r="AC176" s="72" t="n">
        <v>0</v>
      </c>
      <c r="AD176" s="72" t="n">
        <v>0</v>
      </c>
      <c r="AE176" s="74" t="n">
        <v>0</v>
      </c>
      <c r="AF176" s="75" t="n">
        <v>0</v>
      </c>
      <c r="AG176" s="81"/>
      <c r="AH176" s="71" t="s">
        <v>237</v>
      </c>
    </row>
    <row r="177" customFormat="false" ht="15.75" hidden="false" customHeight="true" outlineLevel="0" collapsed="false">
      <c r="A177" s="76" t="n">
        <v>46050</v>
      </c>
      <c r="B177" s="76" t="s">
        <v>235</v>
      </c>
      <c r="C177" s="77" t="s">
        <v>48</v>
      </c>
      <c r="D177" s="78" t="n">
        <v>0</v>
      </c>
      <c r="E177" s="79" t="n">
        <v>0</v>
      </c>
      <c r="F177" s="63" t="n">
        <v>0</v>
      </c>
      <c r="G177" s="78" t="n">
        <v>0</v>
      </c>
      <c r="H177" s="78" t="n">
        <v>0</v>
      </c>
      <c r="I177" s="78" t="n">
        <v>0</v>
      </c>
      <c r="J177" s="78" t="n">
        <v>0</v>
      </c>
      <c r="K177" s="78" t="n">
        <v>0</v>
      </c>
      <c r="L177" s="78" t="n">
        <v>0</v>
      </c>
      <c r="M177" s="78" t="n">
        <v>0</v>
      </c>
      <c r="N177" s="78" t="n">
        <v>0</v>
      </c>
      <c r="O177" s="78" t="n">
        <v>0</v>
      </c>
      <c r="P177" s="80" t="n">
        <v>0</v>
      </c>
      <c r="Q177" s="72" t="n">
        <v>0</v>
      </c>
      <c r="R177" s="72" t="n">
        <v>0</v>
      </c>
      <c r="S177" s="72" t="n">
        <v>0</v>
      </c>
      <c r="T177" s="72" t="n">
        <v>0</v>
      </c>
      <c r="U177" s="73" t="n">
        <v>2000</v>
      </c>
      <c r="V177" s="72" t="n">
        <v>0</v>
      </c>
      <c r="W177" s="72" t="n">
        <v>0</v>
      </c>
      <c r="X177" s="72" t="n">
        <v>0</v>
      </c>
      <c r="Y177" s="72" t="n">
        <v>0</v>
      </c>
      <c r="Z177" s="72" t="n">
        <v>0</v>
      </c>
      <c r="AA177" s="72" t="n">
        <v>0</v>
      </c>
      <c r="AB177" s="72" t="n">
        <v>0</v>
      </c>
      <c r="AC177" s="72" t="n">
        <v>0</v>
      </c>
      <c r="AD177" s="72" t="n">
        <v>0</v>
      </c>
      <c r="AE177" s="74" t="n">
        <v>0</v>
      </c>
      <c r="AF177" s="75" t="n">
        <v>0</v>
      </c>
      <c r="AG177" s="81"/>
      <c r="AH177" s="71" t="s">
        <v>236</v>
      </c>
    </row>
    <row r="178" customFormat="false" ht="15.75" hidden="false" customHeight="true" outlineLevel="0" collapsed="false">
      <c r="A178" s="76" t="n">
        <v>46050</v>
      </c>
      <c r="B178" s="76" t="s">
        <v>238</v>
      </c>
      <c r="C178" s="77" t="s">
        <v>48</v>
      </c>
      <c r="D178" s="78" t="n">
        <v>600</v>
      </c>
      <c r="E178" s="79" t="n">
        <v>0</v>
      </c>
      <c r="F178" s="63" t="n">
        <v>0</v>
      </c>
      <c r="G178" s="78" t="n">
        <v>0</v>
      </c>
      <c r="H178" s="78" t="n">
        <v>0</v>
      </c>
      <c r="I178" s="78" t="n">
        <v>0</v>
      </c>
      <c r="J178" s="78" t="n">
        <v>0</v>
      </c>
      <c r="K178" s="78" t="n">
        <v>0</v>
      </c>
      <c r="L178" s="78" t="n">
        <v>0</v>
      </c>
      <c r="M178" s="78" t="n">
        <v>0</v>
      </c>
      <c r="N178" s="78" t="n">
        <v>0</v>
      </c>
      <c r="O178" s="78" t="n">
        <v>0</v>
      </c>
      <c r="P178" s="80" t="n">
        <v>0</v>
      </c>
      <c r="Q178" s="72" t="n">
        <v>0</v>
      </c>
      <c r="R178" s="73" t="n">
        <v>600</v>
      </c>
      <c r="S178" s="72" t="n">
        <v>0</v>
      </c>
      <c r="T178" s="72" t="n">
        <v>0</v>
      </c>
      <c r="U178" s="72" t="n">
        <v>0</v>
      </c>
      <c r="V178" s="72" t="n">
        <v>0</v>
      </c>
      <c r="W178" s="72" t="n">
        <v>0</v>
      </c>
      <c r="X178" s="72" t="n">
        <v>0</v>
      </c>
      <c r="Y178" s="72" t="n">
        <v>0</v>
      </c>
      <c r="Z178" s="72" t="n">
        <v>0</v>
      </c>
      <c r="AA178" s="72" t="n">
        <v>0</v>
      </c>
      <c r="AB178" s="72" t="n">
        <v>0</v>
      </c>
      <c r="AC178" s="72" t="n">
        <v>0</v>
      </c>
      <c r="AD178" s="72" t="n">
        <v>0</v>
      </c>
      <c r="AE178" s="74" t="n">
        <v>0</v>
      </c>
      <c r="AF178" s="75" t="n">
        <v>0</v>
      </c>
      <c r="AG178" s="81"/>
      <c r="AH178" s="71" t="s">
        <v>239</v>
      </c>
    </row>
    <row r="179" customFormat="false" ht="15.75" hidden="false" customHeight="true" outlineLevel="0" collapsed="false">
      <c r="A179" s="76" t="n">
        <v>46050</v>
      </c>
      <c r="B179" s="76" t="s">
        <v>120</v>
      </c>
      <c r="C179" s="77" t="s">
        <v>46</v>
      </c>
      <c r="D179" s="78" t="n">
        <v>600</v>
      </c>
      <c r="E179" s="79" t="n">
        <v>0</v>
      </c>
      <c r="F179" s="63" t="n">
        <v>0</v>
      </c>
      <c r="G179" s="78" t="n">
        <v>0</v>
      </c>
      <c r="H179" s="78" t="n">
        <v>0</v>
      </c>
      <c r="I179" s="78" t="n">
        <v>0</v>
      </c>
      <c r="J179" s="78" t="n">
        <v>0</v>
      </c>
      <c r="K179" s="78" t="n">
        <v>0</v>
      </c>
      <c r="L179" s="78" t="n">
        <v>0</v>
      </c>
      <c r="M179" s="78" t="n">
        <v>0</v>
      </c>
      <c r="N179" s="78" t="n">
        <v>0</v>
      </c>
      <c r="O179" s="78" t="n">
        <v>0</v>
      </c>
      <c r="P179" s="80" t="n">
        <v>0</v>
      </c>
      <c r="Q179" s="72" t="n">
        <v>0</v>
      </c>
      <c r="R179" s="72" t="n">
        <v>0</v>
      </c>
      <c r="S179" s="72" t="n">
        <v>0</v>
      </c>
      <c r="T179" s="72" t="n">
        <v>0</v>
      </c>
      <c r="U179" s="72" t="n">
        <v>0</v>
      </c>
      <c r="V179" s="73" t="n">
        <v>360</v>
      </c>
      <c r="W179" s="72" t="n">
        <v>0</v>
      </c>
      <c r="X179" s="72" t="n">
        <v>0</v>
      </c>
      <c r="Y179" s="72" t="n">
        <v>0</v>
      </c>
      <c r="Z179" s="72" t="n">
        <v>0</v>
      </c>
      <c r="AA179" s="72" t="n">
        <v>0</v>
      </c>
      <c r="AB179" s="72" t="n">
        <v>0</v>
      </c>
      <c r="AC179" s="72" t="n">
        <v>0</v>
      </c>
      <c r="AD179" s="72" t="n">
        <v>0</v>
      </c>
      <c r="AE179" s="74" t="n">
        <v>0</v>
      </c>
      <c r="AF179" s="75" t="n">
        <v>0</v>
      </c>
      <c r="AG179" s="81"/>
      <c r="AH179" s="71"/>
    </row>
    <row r="180" customFormat="false" ht="15.75" hidden="false" customHeight="true" outlineLevel="0" collapsed="false">
      <c r="A180" s="76" t="n">
        <v>46050</v>
      </c>
      <c r="B180" s="76" t="s">
        <v>120</v>
      </c>
      <c r="C180" s="77" t="s">
        <v>46</v>
      </c>
      <c r="D180" s="78" t="n">
        <v>0</v>
      </c>
      <c r="E180" s="79" t="n">
        <v>9948</v>
      </c>
      <c r="F180" s="63" t="n">
        <v>0</v>
      </c>
      <c r="G180" s="78" t="n">
        <v>0</v>
      </c>
      <c r="H180" s="78" t="n">
        <v>3948</v>
      </c>
      <c r="I180" s="78" t="n">
        <v>0</v>
      </c>
      <c r="J180" s="78" t="n">
        <v>6000</v>
      </c>
      <c r="K180" s="78" t="n">
        <v>0</v>
      </c>
      <c r="L180" s="78" t="n">
        <v>0</v>
      </c>
      <c r="M180" s="78" t="n">
        <v>0</v>
      </c>
      <c r="N180" s="78" t="n">
        <v>0</v>
      </c>
      <c r="O180" s="78" t="n">
        <v>0</v>
      </c>
      <c r="P180" s="80" t="n">
        <v>0</v>
      </c>
      <c r="Q180" s="72" t="n">
        <v>0</v>
      </c>
      <c r="R180" s="73" t="n">
        <v>4290</v>
      </c>
      <c r="S180" s="72" t="n">
        <v>0</v>
      </c>
      <c r="T180" s="72" t="n">
        <v>0</v>
      </c>
      <c r="U180" s="72" t="n">
        <v>0</v>
      </c>
      <c r="V180" s="73" t="n">
        <v>1100</v>
      </c>
      <c r="W180" s="72" t="n">
        <v>0</v>
      </c>
      <c r="X180" s="72" t="n">
        <v>0</v>
      </c>
      <c r="Y180" s="72" t="n">
        <v>0</v>
      </c>
      <c r="Z180" s="72" t="n">
        <v>390</v>
      </c>
      <c r="AA180" s="72" t="n">
        <v>0</v>
      </c>
      <c r="AB180" s="72" t="n">
        <v>0</v>
      </c>
      <c r="AC180" s="72" t="n">
        <v>0</v>
      </c>
      <c r="AD180" s="72" t="n">
        <v>0</v>
      </c>
      <c r="AE180" s="74" t="n">
        <v>4948</v>
      </c>
      <c r="AF180" s="75" t="n">
        <v>0</v>
      </c>
      <c r="AG180" s="81" t="s">
        <v>111</v>
      </c>
      <c r="AH180" s="71" t="s">
        <v>240</v>
      </c>
    </row>
    <row r="181" customFormat="false" ht="15.75" hidden="false" customHeight="true" outlineLevel="0" collapsed="false">
      <c r="A181" s="76" t="n">
        <v>46050</v>
      </c>
      <c r="B181" s="76" t="s">
        <v>241</v>
      </c>
      <c r="C181" s="77" t="s">
        <v>46</v>
      </c>
      <c r="D181" s="78" t="n">
        <v>0</v>
      </c>
      <c r="E181" s="79" t="n">
        <v>6492.76</v>
      </c>
      <c r="F181" s="63" t="n">
        <v>0</v>
      </c>
      <c r="G181" s="78" t="n">
        <v>0</v>
      </c>
      <c r="H181" s="78" t="n">
        <v>6492.76</v>
      </c>
      <c r="I181" s="78" t="n">
        <v>0</v>
      </c>
      <c r="J181" s="78" t="n">
        <v>0</v>
      </c>
      <c r="K181" s="78" t="n">
        <v>0</v>
      </c>
      <c r="L181" s="78" t="n">
        <v>0</v>
      </c>
      <c r="M181" s="78" t="n">
        <v>0</v>
      </c>
      <c r="N181" s="78" t="n">
        <v>0</v>
      </c>
      <c r="O181" s="78" t="n">
        <v>0</v>
      </c>
      <c r="P181" s="80" t="n">
        <v>0</v>
      </c>
      <c r="Q181" s="72" t="n">
        <v>0</v>
      </c>
      <c r="R181" s="72" t="n">
        <v>0</v>
      </c>
      <c r="S181" s="72" t="n">
        <v>0</v>
      </c>
      <c r="T181" s="72" t="n">
        <v>0</v>
      </c>
      <c r="U181" s="72" t="n">
        <v>0</v>
      </c>
      <c r="V181" s="73" t="n">
        <v>6492.76</v>
      </c>
      <c r="W181" s="72" t="n">
        <v>0</v>
      </c>
      <c r="X181" s="72" t="n">
        <v>0</v>
      </c>
      <c r="Y181" s="72" t="n">
        <v>0</v>
      </c>
      <c r="Z181" s="72" t="n">
        <v>0</v>
      </c>
      <c r="AA181" s="72" t="n">
        <v>0</v>
      </c>
      <c r="AB181" s="72" t="n">
        <v>0</v>
      </c>
      <c r="AC181" s="72" t="n">
        <v>0</v>
      </c>
      <c r="AD181" s="72" t="n">
        <v>0</v>
      </c>
      <c r="AE181" s="74" t="n">
        <v>0</v>
      </c>
      <c r="AF181" s="75" t="n">
        <v>0</v>
      </c>
      <c r="AG181" s="81"/>
      <c r="AH181" s="71"/>
    </row>
    <row r="182" customFormat="false" ht="15.75" hidden="false" customHeight="true" outlineLevel="0" collapsed="false">
      <c r="A182" s="76" t="n">
        <v>46050</v>
      </c>
      <c r="B182" s="76" t="s">
        <v>242</v>
      </c>
      <c r="C182" s="77" t="s">
        <v>48</v>
      </c>
      <c r="D182" s="78" t="n">
        <v>0</v>
      </c>
      <c r="E182" s="79" t="n">
        <v>0</v>
      </c>
      <c r="F182" s="63" t="n">
        <v>0</v>
      </c>
      <c r="G182" s="78" t="n">
        <v>0</v>
      </c>
      <c r="H182" s="78" t="n">
        <v>0</v>
      </c>
      <c r="I182" s="78" t="n">
        <v>0</v>
      </c>
      <c r="J182" s="78" t="n">
        <v>0</v>
      </c>
      <c r="K182" s="78" t="n">
        <v>0</v>
      </c>
      <c r="L182" s="78" t="n">
        <v>0</v>
      </c>
      <c r="M182" s="78" t="n">
        <v>0</v>
      </c>
      <c r="N182" s="78" t="n">
        <v>0</v>
      </c>
      <c r="O182" s="78" t="n">
        <v>0</v>
      </c>
      <c r="P182" s="80" t="n">
        <v>0</v>
      </c>
      <c r="Q182" s="72" t="n">
        <v>0</v>
      </c>
      <c r="R182" s="72" t="n">
        <v>0</v>
      </c>
      <c r="S182" s="72" t="n">
        <v>0</v>
      </c>
      <c r="T182" s="73" t="n">
        <v>100</v>
      </c>
      <c r="U182" s="72" t="n">
        <v>0</v>
      </c>
      <c r="V182" s="72" t="n">
        <v>0</v>
      </c>
      <c r="W182" s="72" t="n">
        <v>0</v>
      </c>
      <c r="X182" s="72" t="n">
        <v>0</v>
      </c>
      <c r="Y182" s="72" t="n">
        <v>0</v>
      </c>
      <c r="Z182" s="72" t="n">
        <v>0</v>
      </c>
      <c r="AA182" s="72" t="n">
        <v>0</v>
      </c>
      <c r="AB182" s="72" t="n">
        <v>0</v>
      </c>
      <c r="AC182" s="72" t="n">
        <v>0</v>
      </c>
      <c r="AD182" s="72" t="n">
        <v>0</v>
      </c>
      <c r="AE182" s="74" t="n">
        <v>0</v>
      </c>
      <c r="AF182" s="75" t="n">
        <v>0</v>
      </c>
      <c r="AG182" s="81"/>
      <c r="AH182" s="71"/>
    </row>
    <row r="183" customFormat="false" ht="15.75" hidden="false" customHeight="true" outlineLevel="0" collapsed="false">
      <c r="A183" s="76" t="n">
        <v>46050</v>
      </c>
      <c r="B183" s="76" t="s">
        <v>243</v>
      </c>
      <c r="C183" s="77" t="s">
        <v>48</v>
      </c>
      <c r="D183" s="78" t="n">
        <v>0</v>
      </c>
      <c r="E183" s="79" t="n">
        <v>0</v>
      </c>
      <c r="F183" s="63" t="n">
        <v>0</v>
      </c>
      <c r="G183" s="78" t="n">
        <v>0</v>
      </c>
      <c r="H183" s="78" t="n">
        <v>0</v>
      </c>
      <c r="I183" s="78" t="n">
        <v>0</v>
      </c>
      <c r="J183" s="78" t="n">
        <v>0</v>
      </c>
      <c r="K183" s="78" t="n">
        <v>0</v>
      </c>
      <c r="L183" s="78" t="n">
        <v>0</v>
      </c>
      <c r="M183" s="78" t="n">
        <v>0</v>
      </c>
      <c r="N183" s="78"/>
      <c r="O183" s="78" t="n">
        <v>0</v>
      </c>
      <c r="P183" s="80" t="n">
        <v>0</v>
      </c>
      <c r="Q183" s="72" t="n">
        <v>0</v>
      </c>
      <c r="R183" s="72" t="n">
        <v>0</v>
      </c>
      <c r="S183" s="72" t="n">
        <v>0</v>
      </c>
      <c r="T183" s="72" t="n">
        <v>0</v>
      </c>
      <c r="U183" s="72" t="n">
        <v>0</v>
      </c>
      <c r="V183" s="73" t="n">
        <v>100</v>
      </c>
      <c r="W183" s="72" t="n">
        <v>0</v>
      </c>
      <c r="X183" s="72" t="n">
        <v>0</v>
      </c>
      <c r="Y183" s="72" t="n">
        <v>0</v>
      </c>
      <c r="Z183" s="72" t="n">
        <v>0</v>
      </c>
      <c r="AA183" s="72" t="n">
        <v>0</v>
      </c>
      <c r="AB183" s="72" t="n">
        <v>0</v>
      </c>
      <c r="AC183" s="72" t="n">
        <v>0</v>
      </c>
      <c r="AD183" s="72" t="n">
        <v>0</v>
      </c>
      <c r="AE183" s="74" t="n">
        <v>0</v>
      </c>
      <c r="AF183" s="75" t="n">
        <v>0</v>
      </c>
      <c r="AG183" s="81"/>
      <c r="AH183" s="71"/>
    </row>
    <row r="184" customFormat="false" ht="15.75" hidden="false" customHeight="true" outlineLevel="0" collapsed="false">
      <c r="A184" s="76" t="n">
        <v>46050</v>
      </c>
      <c r="B184" s="76" t="s">
        <v>244</v>
      </c>
      <c r="C184" s="77" t="s">
        <v>46</v>
      </c>
      <c r="D184" s="78" t="n">
        <v>0</v>
      </c>
      <c r="E184" s="79" t="n">
        <v>4560</v>
      </c>
      <c r="F184" s="63" t="n">
        <v>0</v>
      </c>
      <c r="G184" s="78" t="n">
        <v>0</v>
      </c>
      <c r="H184" s="78" t="n">
        <v>0</v>
      </c>
      <c r="I184" s="78" t="n">
        <v>0</v>
      </c>
      <c r="J184" s="78" t="n">
        <v>0</v>
      </c>
      <c r="K184" s="78" t="n">
        <v>4560</v>
      </c>
      <c r="L184" s="78" t="n">
        <v>0</v>
      </c>
      <c r="M184" s="78" t="n">
        <v>0</v>
      </c>
      <c r="N184" s="78" t="n">
        <v>0</v>
      </c>
      <c r="O184" s="78" t="n">
        <v>0</v>
      </c>
      <c r="P184" s="80" t="n">
        <v>0</v>
      </c>
      <c r="Q184" s="72" t="n">
        <v>0</v>
      </c>
      <c r="R184" s="72" t="n">
        <v>0</v>
      </c>
      <c r="S184" s="72" t="n">
        <v>0</v>
      </c>
      <c r="T184" s="72" t="n">
        <v>0</v>
      </c>
      <c r="U184" s="72" t="n">
        <v>0</v>
      </c>
      <c r="V184" s="72" t="n">
        <v>0</v>
      </c>
      <c r="W184" s="72" t="n">
        <v>0</v>
      </c>
      <c r="X184" s="72" t="n">
        <v>0</v>
      </c>
      <c r="Y184" s="72" t="n">
        <v>0</v>
      </c>
      <c r="Z184" s="72" t="n">
        <v>0</v>
      </c>
      <c r="AA184" s="72" t="n">
        <v>0</v>
      </c>
      <c r="AB184" s="72" t="n">
        <v>0</v>
      </c>
      <c r="AC184" s="72" t="n">
        <v>0</v>
      </c>
      <c r="AD184" s="72" t="n">
        <v>0</v>
      </c>
      <c r="AE184" s="74" t="n">
        <v>4560</v>
      </c>
      <c r="AF184" s="75" t="n">
        <v>0</v>
      </c>
      <c r="AG184" s="81" t="s">
        <v>111</v>
      </c>
      <c r="AH184" s="71"/>
    </row>
    <row r="185" customFormat="false" ht="15.75" hidden="false" customHeight="true" outlineLevel="0" collapsed="false">
      <c r="A185" s="76" t="n">
        <v>46051</v>
      </c>
      <c r="B185" s="76" t="s">
        <v>245</v>
      </c>
      <c r="C185" s="77" t="s">
        <v>46</v>
      </c>
      <c r="D185" s="78" t="n">
        <v>600</v>
      </c>
      <c r="E185" s="79" t="n">
        <v>0</v>
      </c>
      <c r="F185" s="63" t="n">
        <v>0</v>
      </c>
      <c r="G185" s="78" t="n">
        <v>0</v>
      </c>
      <c r="H185" s="78" t="n">
        <v>0</v>
      </c>
      <c r="I185" s="78" t="n">
        <v>0</v>
      </c>
      <c r="J185" s="78" t="n">
        <v>0</v>
      </c>
      <c r="K185" s="78" t="n">
        <v>0</v>
      </c>
      <c r="L185" s="78" t="n">
        <v>0</v>
      </c>
      <c r="M185" s="78" t="n">
        <v>0</v>
      </c>
      <c r="N185" s="78" t="n">
        <v>0</v>
      </c>
      <c r="O185" s="78" t="n">
        <v>0</v>
      </c>
      <c r="P185" s="80" t="n">
        <v>0</v>
      </c>
      <c r="Q185" s="73" t="n">
        <v>600</v>
      </c>
      <c r="R185" s="72" t="n">
        <v>0</v>
      </c>
      <c r="S185" s="72" t="n">
        <v>0</v>
      </c>
      <c r="T185" s="72" t="n">
        <v>0</v>
      </c>
      <c r="U185" s="72" t="n">
        <v>0</v>
      </c>
      <c r="V185" s="72" t="n">
        <v>0</v>
      </c>
      <c r="W185" s="72" t="n">
        <v>0</v>
      </c>
      <c r="X185" s="72" t="n">
        <v>0</v>
      </c>
      <c r="Y185" s="72" t="n">
        <v>0</v>
      </c>
      <c r="Z185" s="72" t="n">
        <v>0</v>
      </c>
      <c r="AA185" s="72" t="n">
        <v>0</v>
      </c>
      <c r="AB185" s="72" t="n">
        <v>0</v>
      </c>
      <c r="AC185" s="72" t="n">
        <v>0</v>
      </c>
      <c r="AD185" s="72" t="n">
        <v>0</v>
      </c>
      <c r="AE185" s="74" t="n">
        <v>0</v>
      </c>
      <c r="AF185" s="75" t="n">
        <v>0</v>
      </c>
      <c r="AG185" s="81"/>
      <c r="AH185" s="71"/>
    </row>
    <row r="186" customFormat="false" ht="15.75" hidden="false" customHeight="true" outlineLevel="0" collapsed="false">
      <c r="A186" s="76" t="n">
        <v>46051</v>
      </c>
      <c r="B186" s="76" t="s">
        <v>199</v>
      </c>
      <c r="C186" s="77" t="s">
        <v>46</v>
      </c>
      <c r="D186" s="78" t="n">
        <v>0</v>
      </c>
      <c r="E186" s="79" t="n">
        <v>750</v>
      </c>
      <c r="F186" s="63" t="n">
        <v>0</v>
      </c>
      <c r="G186" s="78" t="n">
        <v>0</v>
      </c>
      <c r="H186" s="78" t="n">
        <v>0</v>
      </c>
      <c r="I186" s="78" t="n">
        <v>0</v>
      </c>
      <c r="J186" s="78" t="n">
        <v>0</v>
      </c>
      <c r="K186" s="78" t="n">
        <v>0</v>
      </c>
      <c r="L186" s="78" t="n">
        <v>750</v>
      </c>
      <c r="M186" s="78" t="n">
        <v>0</v>
      </c>
      <c r="N186" s="78" t="n">
        <v>0</v>
      </c>
      <c r="O186" s="78" t="n">
        <v>0</v>
      </c>
      <c r="P186" s="80" t="n">
        <v>0</v>
      </c>
      <c r="Q186" s="72" t="n">
        <v>0</v>
      </c>
      <c r="R186" s="72" t="n">
        <v>0</v>
      </c>
      <c r="S186" s="73" t="n">
        <v>750</v>
      </c>
      <c r="T186" s="72" t="n">
        <v>0</v>
      </c>
      <c r="U186" s="72" t="n">
        <v>0</v>
      </c>
      <c r="V186" s="72" t="n">
        <v>0</v>
      </c>
      <c r="W186" s="72" t="n">
        <v>0</v>
      </c>
      <c r="X186" s="72" t="n">
        <v>0</v>
      </c>
      <c r="Y186" s="72" t="n">
        <v>0</v>
      </c>
      <c r="Z186" s="72" t="n">
        <v>0</v>
      </c>
      <c r="AA186" s="72" t="n">
        <v>0</v>
      </c>
      <c r="AB186" s="72" t="n">
        <v>0</v>
      </c>
      <c r="AC186" s="72" t="n">
        <v>0</v>
      </c>
      <c r="AD186" s="72" t="n">
        <v>0</v>
      </c>
      <c r="AE186" s="74" t="n">
        <v>0</v>
      </c>
      <c r="AF186" s="75" t="n">
        <v>0</v>
      </c>
      <c r="AG186" s="81"/>
      <c r="AH186" s="71" t="s">
        <v>246</v>
      </c>
    </row>
    <row r="187" customFormat="false" ht="15.75" hidden="false" customHeight="true" outlineLevel="0" collapsed="false">
      <c r="A187" s="82" t="n">
        <v>46051</v>
      </c>
      <c r="B187" s="82" t="s">
        <v>247</v>
      </c>
      <c r="C187" s="83" t="s">
        <v>46</v>
      </c>
      <c r="D187" s="84" t="n">
        <v>0</v>
      </c>
      <c r="E187" s="85" t="n">
        <v>9000</v>
      </c>
      <c r="F187" s="63" t="n">
        <v>0</v>
      </c>
      <c r="G187" s="78" t="n">
        <v>0</v>
      </c>
      <c r="H187" s="78" t="n">
        <v>0</v>
      </c>
      <c r="I187" s="78" t="n">
        <v>0</v>
      </c>
      <c r="J187" s="78" t="n">
        <v>6000</v>
      </c>
      <c r="K187" s="78" t="n">
        <v>3000</v>
      </c>
      <c r="L187" s="78" t="n">
        <v>0</v>
      </c>
      <c r="M187" s="78" t="n">
        <v>0</v>
      </c>
      <c r="N187" s="78" t="n">
        <v>0</v>
      </c>
      <c r="O187" s="78" t="n">
        <v>0</v>
      </c>
      <c r="P187" s="80" t="n">
        <v>0</v>
      </c>
      <c r="Q187" s="72" t="n">
        <v>0</v>
      </c>
      <c r="R187" s="72" t="n">
        <v>0</v>
      </c>
      <c r="S187" s="72" t="n">
        <v>0</v>
      </c>
      <c r="T187" s="72" t="n">
        <v>0</v>
      </c>
      <c r="U187" s="73" t="n">
        <v>9540</v>
      </c>
      <c r="V187" s="72" t="n">
        <v>0</v>
      </c>
      <c r="W187" s="72" t="n">
        <v>0</v>
      </c>
      <c r="X187" s="72" t="n">
        <v>0</v>
      </c>
      <c r="Y187" s="86" t="n">
        <v>0</v>
      </c>
      <c r="Z187" s="86" t="n">
        <v>540</v>
      </c>
      <c r="AA187" s="86" t="n">
        <v>0</v>
      </c>
      <c r="AB187" s="86" t="n">
        <v>0</v>
      </c>
      <c r="AC187" s="86" t="n">
        <v>0</v>
      </c>
      <c r="AD187" s="86" t="n">
        <v>0</v>
      </c>
      <c r="AE187" s="87" t="n">
        <v>0</v>
      </c>
      <c r="AF187" s="88" t="n">
        <v>0</v>
      </c>
      <c r="AG187" s="89"/>
      <c r="AH187" s="8" t="s">
        <v>248</v>
      </c>
    </row>
    <row r="188" customFormat="false" ht="15.75" hidden="false" customHeight="true" outlineLevel="0" collapsed="false">
      <c r="A188" s="82" t="n">
        <v>46051</v>
      </c>
      <c r="B188" s="82" t="s">
        <v>249</v>
      </c>
      <c r="C188" s="83" t="s">
        <v>53</v>
      </c>
      <c r="D188" s="84" t="n">
        <v>0</v>
      </c>
      <c r="E188" s="85" t="n">
        <v>0</v>
      </c>
      <c r="F188" s="63" t="n">
        <v>0</v>
      </c>
      <c r="G188" s="78" t="n">
        <v>0</v>
      </c>
      <c r="H188" s="78" t="n">
        <v>0</v>
      </c>
      <c r="I188" s="78" t="n">
        <v>0</v>
      </c>
      <c r="J188" s="78" t="n">
        <v>0</v>
      </c>
      <c r="K188" s="78" t="n">
        <v>0</v>
      </c>
      <c r="L188" s="78" t="n">
        <v>0</v>
      </c>
      <c r="M188" s="78" t="n">
        <v>0</v>
      </c>
      <c r="N188" s="78" t="n">
        <v>0</v>
      </c>
      <c r="O188" s="78" t="n">
        <v>0</v>
      </c>
      <c r="P188" s="80" t="n">
        <v>0</v>
      </c>
      <c r="Q188" s="72" t="n">
        <v>0</v>
      </c>
      <c r="R188" s="72" t="n">
        <v>0</v>
      </c>
      <c r="S188" s="72" t="n">
        <v>0</v>
      </c>
      <c r="T188" s="72" t="n">
        <v>0</v>
      </c>
      <c r="U188" s="72" t="n">
        <v>0</v>
      </c>
      <c r="V188" s="73" t="n">
        <v>1260</v>
      </c>
      <c r="W188" s="72" t="n">
        <v>0</v>
      </c>
      <c r="X188" s="72" t="n">
        <v>0</v>
      </c>
      <c r="Y188" s="86" t="n">
        <v>0</v>
      </c>
      <c r="Z188" s="86" t="n">
        <v>0</v>
      </c>
      <c r="AA188" s="86" t="n">
        <v>0</v>
      </c>
      <c r="AB188" s="86" t="n">
        <v>0</v>
      </c>
      <c r="AC188" s="86" t="n">
        <v>0</v>
      </c>
      <c r="AD188" s="86" t="n">
        <v>0</v>
      </c>
      <c r="AE188" s="87" t="n">
        <v>0</v>
      </c>
      <c r="AF188" s="88" t="n">
        <v>0</v>
      </c>
      <c r="AG188" s="89" t="s">
        <v>250</v>
      </c>
      <c r="AH188" s="8"/>
    </row>
    <row r="189" customFormat="false" ht="15.75" hidden="false" customHeight="true" outlineLevel="0" collapsed="false">
      <c r="A189" s="82" t="n">
        <v>46051</v>
      </c>
      <c r="B189" s="82" t="s">
        <v>103</v>
      </c>
      <c r="C189" s="83" t="s">
        <v>46</v>
      </c>
      <c r="D189" s="84" t="n">
        <v>0</v>
      </c>
      <c r="E189" s="85" t="n">
        <v>5000</v>
      </c>
      <c r="F189" s="63" t="n">
        <v>0</v>
      </c>
      <c r="G189" s="78" t="n">
        <v>0</v>
      </c>
      <c r="H189" s="78" t="n">
        <v>0</v>
      </c>
      <c r="I189" s="78" t="n">
        <v>0</v>
      </c>
      <c r="J189" s="78" t="n">
        <v>0</v>
      </c>
      <c r="K189" s="78" t="n">
        <v>5000</v>
      </c>
      <c r="L189" s="78" t="n">
        <v>0</v>
      </c>
      <c r="M189" s="78" t="n">
        <v>0</v>
      </c>
      <c r="N189" s="78" t="n">
        <v>0</v>
      </c>
      <c r="O189" s="78" t="n">
        <v>0</v>
      </c>
      <c r="P189" s="80" t="n">
        <v>0</v>
      </c>
      <c r="Q189" s="72" t="n">
        <v>0</v>
      </c>
      <c r="R189" s="72" t="n">
        <v>0</v>
      </c>
      <c r="S189" s="72" t="n">
        <v>0</v>
      </c>
      <c r="T189" s="72" t="n">
        <v>0</v>
      </c>
      <c r="U189" s="72" t="n">
        <v>0</v>
      </c>
      <c r="V189" s="72" t="n">
        <v>0</v>
      </c>
      <c r="W189" s="72" t="n">
        <v>0</v>
      </c>
      <c r="X189" s="72" t="n">
        <v>0</v>
      </c>
      <c r="Y189" s="86" t="n">
        <v>0</v>
      </c>
      <c r="Z189" s="86" t="n">
        <v>0</v>
      </c>
      <c r="AA189" s="86" t="n">
        <v>0</v>
      </c>
      <c r="AB189" s="86" t="n">
        <v>0</v>
      </c>
      <c r="AC189" s="86" t="n">
        <v>0</v>
      </c>
      <c r="AD189" s="86" t="n">
        <v>0</v>
      </c>
      <c r="AE189" s="87" t="n">
        <v>5000</v>
      </c>
      <c r="AF189" s="88" t="n">
        <v>0</v>
      </c>
      <c r="AG189" s="89" t="s">
        <v>111</v>
      </c>
      <c r="AH189" s="8"/>
    </row>
    <row r="190" customFormat="false" ht="15.75" hidden="false" customHeight="true" outlineLevel="0" collapsed="false">
      <c r="A190" s="76" t="n">
        <v>46052</v>
      </c>
      <c r="B190" s="76" t="s">
        <v>251</v>
      </c>
      <c r="C190" s="77" t="s">
        <v>46</v>
      </c>
      <c r="D190" s="78" t="n">
        <v>600</v>
      </c>
      <c r="E190" s="79" t="n">
        <v>0</v>
      </c>
      <c r="F190" s="63" t="n">
        <v>0</v>
      </c>
      <c r="G190" s="78" t="n">
        <v>0</v>
      </c>
      <c r="H190" s="78" t="n">
        <v>0</v>
      </c>
      <c r="I190" s="78" t="n">
        <v>0</v>
      </c>
      <c r="J190" s="78" t="n">
        <v>0</v>
      </c>
      <c r="K190" s="78" t="n">
        <v>0</v>
      </c>
      <c r="L190" s="78" t="n">
        <v>0</v>
      </c>
      <c r="M190" s="78" t="n">
        <v>0</v>
      </c>
      <c r="N190" s="78" t="n">
        <v>0</v>
      </c>
      <c r="O190" s="78" t="n">
        <v>0</v>
      </c>
      <c r="P190" s="80" t="n">
        <v>0</v>
      </c>
      <c r="Q190" s="72" t="n">
        <v>0</v>
      </c>
      <c r="R190" s="73" t="n">
        <v>600</v>
      </c>
      <c r="S190" s="72" t="n">
        <v>0</v>
      </c>
      <c r="T190" s="72" t="n">
        <v>0</v>
      </c>
      <c r="U190" s="72" t="n">
        <v>0</v>
      </c>
      <c r="V190" s="72" t="n">
        <v>0</v>
      </c>
      <c r="W190" s="72" t="n">
        <v>0</v>
      </c>
      <c r="X190" s="72" t="n">
        <v>0</v>
      </c>
      <c r="Y190" s="72" t="n">
        <v>0</v>
      </c>
      <c r="Z190" s="72" t="n">
        <v>0</v>
      </c>
      <c r="AA190" s="72" t="n">
        <v>0</v>
      </c>
      <c r="AB190" s="72" t="n">
        <v>0</v>
      </c>
      <c r="AC190" s="72" t="n">
        <v>0</v>
      </c>
      <c r="AD190" s="72" t="n">
        <v>0</v>
      </c>
      <c r="AE190" s="74" t="n">
        <v>0</v>
      </c>
      <c r="AF190" s="75" t="n">
        <v>0</v>
      </c>
      <c r="AG190" s="81"/>
      <c r="AH190" s="71" t="s">
        <v>252</v>
      </c>
    </row>
    <row r="191" customFormat="false" ht="15.75" hidden="false" customHeight="true" outlineLevel="0" collapsed="false">
      <c r="A191" s="76" t="n">
        <v>46052</v>
      </c>
      <c r="B191" s="76" t="s">
        <v>251</v>
      </c>
      <c r="C191" s="77" t="s">
        <v>46</v>
      </c>
      <c r="D191" s="78" t="n">
        <v>0</v>
      </c>
      <c r="E191" s="79" t="n">
        <v>3380</v>
      </c>
      <c r="F191" s="63" t="n">
        <v>0</v>
      </c>
      <c r="G191" s="78" t="n">
        <v>0</v>
      </c>
      <c r="H191" s="78" t="n">
        <v>0</v>
      </c>
      <c r="I191" s="78" t="n">
        <v>0</v>
      </c>
      <c r="J191" s="78" t="n">
        <v>0</v>
      </c>
      <c r="K191" s="78" t="n">
        <v>3380</v>
      </c>
      <c r="L191" s="78" t="n">
        <v>0</v>
      </c>
      <c r="M191" s="78" t="n">
        <v>0</v>
      </c>
      <c r="N191" s="78" t="n">
        <v>0</v>
      </c>
      <c r="O191" s="78" t="n">
        <v>0</v>
      </c>
      <c r="P191" s="80" t="n">
        <v>0</v>
      </c>
      <c r="Q191" s="72" t="n">
        <v>0</v>
      </c>
      <c r="R191" s="73" t="n">
        <v>3380</v>
      </c>
      <c r="S191" s="72" t="n">
        <v>0</v>
      </c>
      <c r="T191" s="72" t="n">
        <v>0</v>
      </c>
      <c r="U191" s="72" t="n">
        <v>0</v>
      </c>
      <c r="V191" s="72" t="n">
        <v>0</v>
      </c>
      <c r="W191" s="72" t="n">
        <v>0</v>
      </c>
      <c r="X191" s="72" t="n">
        <v>0</v>
      </c>
      <c r="Y191" s="72" t="n">
        <v>0</v>
      </c>
      <c r="Z191" s="72" t="n">
        <v>0</v>
      </c>
      <c r="AA191" s="72" t="n">
        <v>0</v>
      </c>
      <c r="AB191" s="72" t="n">
        <v>0</v>
      </c>
      <c r="AC191" s="72" t="n">
        <v>0</v>
      </c>
      <c r="AD191" s="72" t="n">
        <v>0</v>
      </c>
      <c r="AE191" s="74" t="n">
        <v>0</v>
      </c>
      <c r="AF191" s="75" t="n">
        <v>0</v>
      </c>
      <c r="AG191" s="81"/>
      <c r="AH191" s="71" t="s">
        <v>252</v>
      </c>
    </row>
    <row r="192" customFormat="false" ht="15.75" hidden="false" customHeight="true" outlineLevel="0" collapsed="false">
      <c r="A192" s="76" t="n">
        <v>46052</v>
      </c>
      <c r="B192" s="76" t="s">
        <v>253</v>
      </c>
      <c r="C192" s="77" t="s">
        <v>46</v>
      </c>
      <c r="D192" s="78" t="n">
        <v>0</v>
      </c>
      <c r="E192" s="79" t="n">
        <v>6548</v>
      </c>
      <c r="F192" s="63" t="n">
        <v>0</v>
      </c>
      <c r="G192" s="78" t="n">
        <v>0</v>
      </c>
      <c r="H192" s="78" t="n">
        <v>3948</v>
      </c>
      <c r="I192" s="78" t="n">
        <v>2600</v>
      </c>
      <c r="J192" s="78" t="n">
        <v>0</v>
      </c>
      <c r="K192" s="78" t="n">
        <v>0</v>
      </c>
      <c r="L192" s="78" t="n">
        <v>0</v>
      </c>
      <c r="M192" s="78" t="n">
        <v>0</v>
      </c>
      <c r="N192" s="78" t="n">
        <v>0</v>
      </c>
      <c r="O192" s="78" t="n">
        <v>0</v>
      </c>
      <c r="P192" s="80" t="n">
        <v>0</v>
      </c>
      <c r="Q192" s="72" t="n">
        <v>0</v>
      </c>
      <c r="R192" s="73" t="n">
        <v>6548</v>
      </c>
      <c r="S192" s="72" t="n">
        <v>0</v>
      </c>
      <c r="T192" s="72" t="n">
        <v>0</v>
      </c>
      <c r="U192" s="72" t="n">
        <v>0</v>
      </c>
      <c r="V192" s="72" t="n">
        <v>0</v>
      </c>
      <c r="W192" s="72" t="n">
        <v>0</v>
      </c>
      <c r="X192" s="72" t="n">
        <v>0</v>
      </c>
      <c r="Y192" s="72" t="n">
        <v>0</v>
      </c>
      <c r="Z192" s="72" t="n">
        <v>0</v>
      </c>
      <c r="AA192" s="72" t="n">
        <v>0</v>
      </c>
      <c r="AB192" s="72" t="n">
        <v>0</v>
      </c>
      <c r="AC192" s="72" t="n">
        <v>0</v>
      </c>
      <c r="AD192" s="72" t="n">
        <v>0</v>
      </c>
      <c r="AE192" s="74" t="n">
        <v>0</v>
      </c>
      <c r="AF192" s="75" t="n">
        <v>0</v>
      </c>
      <c r="AG192" s="81"/>
      <c r="AH192" s="71" t="s">
        <v>254</v>
      </c>
    </row>
    <row r="193" customFormat="false" ht="15.75" hidden="false" customHeight="true" outlineLevel="0" collapsed="false">
      <c r="A193" s="76" t="n">
        <v>46052</v>
      </c>
      <c r="B193" s="76" t="s">
        <v>255</v>
      </c>
      <c r="C193" s="77" t="s">
        <v>46</v>
      </c>
      <c r="D193" s="78" t="n">
        <v>0</v>
      </c>
      <c r="E193" s="79" t="n">
        <v>900</v>
      </c>
      <c r="F193" s="63" t="n">
        <v>0</v>
      </c>
      <c r="G193" s="78" t="n">
        <v>0</v>
      </c>
      <c r="H193" s="78" t="n">
        <v>0</v>
      </c>
      <c r="I193" s="78" t="n">
        <v>0</v>
      </c>
      <c r="J193" s="78" t="n">
        <v>0</v>
      </c>
      <c r="K193" s="78" t="n">
        <v>0</v>
      </c>
      <c r="L193" s="78" t="n">
        <v>900</v>
      </c>
      <c r="M193" s="78" t="n">
        <v>0</v>
      </c>
      <c r="N193" s="78" t="n">
        <v>0</v>
      </c>
      <c r="O193" s="78" t="n">
        <v>0</v>
      </c>
      <c r="P193" s="80" t="n">
        <v>0</v>
      </c>
      <c r="Q193" s="72" t="n">
        <v>0</v>
      </c>
      <c r="R193" s="72" t="n">
        <v>0</v>
      </c>
      <c r="S193" s="73" t="n">
        <v>900</v>
      </c>
      <c r="T193" s="72" t="n">
        <v>0</v>
      </c>
      <c r="U193" s="72" t="n">
        <v>0</v>
      </c>
      <c r="V193" s="72" t="n">
        <v>0</v>
      </c>
      <c r="W193" s="72" t="n">
        <v>0</v>
      </c>
      <c r="X193" s="72" t="n">
        <v>0</v>
      </c>
      <c r="Y193" s="72" t="n">
        <v>0</v>
      </c>
      <c r="Z193" s="72" t="n">
        <v>0</v>
      </c>
      <c r="AA193" s="72" t="n">
        <v>0</v>
      </c>
      <c r="AB193" s="72" t="n">
        <v>0</v>
      </c>
      <c r="AC193" s="72" t="n">
        <v>0</v>
      </c>
      <c r="AD193" s="72" t="n">
        <v>0</v>
      </c>
      <c r="AE193" s="74" t="n">
        <v>0</v>
      </c>
      <c r="AF193" s="75" t="n">
        <v>0</v>
      </c>
      <c r="AG193" s="81"/>
      <c r="AH193" s="71" t="s">
        <v>256</v>
      </c>
    </row>
    <row r="194" customFormat="false" ht="15.75" hidden="false" customHeight="true" outlineLevel="0" collapsed="false">
      <c r="A194" s="76" t="n">
        <v>46052</v>
      </c>
      <c r="B194" s="76" t="s">
        <v>257</v>
      </c>
      <c r="C194" s="77" t="s">
        <v>48</v>
      </c>
      <c r="D194" s="78" t="n">
        <v>0</v>
      </c>
      <c r="E194" s="79" t="n">
        <v>0</v>
      </c>
      <c r="F194" s="63" t="n">
        <v>0</v>
      </c>
      <c r="G194" s="78" t="n">
        <v>0</v>
      </c>
      <c r="H194" s="78" t="n">
        <v>0</v>
      </c>
      <c r="I194" s="78" t="n">
        <v>0</v>
      </c>
      <c r="J194" s="78" t="n">
        <v>0</v>
      </c>
      <c r="K194" s="78" t="n">
        <v>0</v>
      </c>
      <c r="L194" s="78" t="n">
        <v>0</v>
      </c>
      <c r="M194" s="78" t="n">
        <v>0</v>
      </c>
      <c r="N194" s="78" t="n">
        <v>0</v>
      </c>
      <c r="O194" s="78" t="n">
        <v>0</v>
      </c>
      <c r="P194" s="80" t="n">
        <v>0</v>
      </c>
      <c r="Q194" s="72" t="n">
        <v>0</v>
      </c>
      <c r="R194" s="72" t="n">
        <v>0</v>
      </c>
      <c r="S194" s="72" t="n">
        <v>0</v>
      </c>
      <c r="T194" s="72" t="n">
        <v>0</v>
      </c>
      <c r="U194" s="72" t="n">
        <v>0</v>
      </c>
      <c r="V194" s="73" t="n">
        <v>120</v>
      </c>
      <c r="W194" s="72" t="n">
        <v>0</v>
      </c>
      <c r="X194" s="72" t="n">
        <v>0</v>
      </c>
      <c r="Y194" s="72" t="n">
        <v>0</v>
      </c>
      <c r="Z194" s="72" t="n">
        <v>0</v>
      </c>
      <c r="AA194" s="72" t="n">
        <v>0</v>
      </c>
      <c r="AB194" s="72" t="n">
        <v>0</v>
      </c>
      <c r="AC194" s="72" t="n">
        <v>0</v>
      </c>
      <c r="AD194" s="72" t="n">
        <v>0</v>
      </c>
      <c r="AE194" s="74" t="n">
        <v>0</v>
      </c>
      <c r="AF194" s="75" t="n">
        <v>0</v>
      </c>
      <c r="AG194" s="81"/>
      <c r="AH194" s="71"/>
    </row>
    <row r="195" customFormat="false" ht="15.75" hidden="false" customHeight="true" outlineLevel="0" collapsed="false">
      <c r="A195" s="76" t="n">
        <v>46052</v>
      </c>
      <c r="B195" s="76" t="s">
        <v>258</v>
      </c>
      <c r="C195" s="77" t="s">
        <v>46</v>
      </c>
      <c r="D195" s="78" t="n">
        <v>0</v>
      </c>
      <c r="E195" s="79" t="n">
        <v>4587</v>
      </c>
      <c r="F195" s="63" t="n">
        <v>0</v>
      </c>
      <c r="G195" s="78" t="n">
        <v>0</v>
      </c>
      <c r="H195" s="78" t="n">
        <v>4587</v>
      </c>
      <c r="I195" s="78" t="n">
        <v>0</v>
      </c>
      <c r="J195" s="78" t="n">
        <v>0</v>
      </c>
      <c r="K195" s="78" t="n">
        <v>0</v>
      </c>
      <c r="L195" s="78" t="n">
        <v>0</v>
      </c>
      <c r="M195" s="78" t="n">
        <v>0</v>
      </c>
      <c r="N195" s="78" t="n">
        <v>0</v>
      </c>
      <c r="O195" s="78" t="n">
        <v>0</v>
      </c>
      <c r="P195" s="80" t="n">
        <v>0</v>
      </c>
      <c r="Q195" s="72" t="n">
        <v>0</v>
      </c>
      <c r="R195" s="72" t="n">
        <v>0</v>
      </c>
      <c r="S195" s="72" t="n">
        <v>0</v>
      </c>
      <c r="T195" s="72" t="n">
        <v>0</v>
      </c>
      <c r="U195" s="72" t="n">
        <v>0</v>
      </c>
      <c r="V195" s="72" t="n">
        <v>0</v>
      </c>
      <c r="W195" s="72" t="n">
        <v>0</v>
      </c>
      <c r="X195" s="72" t="n">
        <v>0</v>
      </c>
      <c r="Y195" s="72" t="n">
        <v>0</v>
      </c>
      <c r="Z195" s="72" t="n">
        <v>0</v>
      </c>
      <c r="AA195" s="72" t="n">
        <v>0</v>
      </c>
      <c r="AB195" s="72" t="n">
        <v>0</v>
      </c>
      <c r="AC195" s="72" t="n">
        <v>0</v>
      </c>
      <c r="AD195" s="72" t="n">
        <v>0</v>
      </c>
      <c r="AE195" s="74" t="n">
        <v>4587</v>
      </c>
      <c r="AF195" s="75" t="n">
        <v>0</v>
      </c>
      <c r="AG195" s="81"/>
      <c r="AH195" s="71"/>
    </row>
    <row r="196" customFormat="false" ht="15.75" hidden="false" customHeight="true" outlineLevel="0" collapsed="false">
      <c r="A196" s="76" t="n">
        <v>46052</v>
      </c>
      <c r="B196" s="76" t="s">
        <v>259</v>
      </c>
      <c r="C196" s="77" t="s">
        <v>260</v>
      </c>
      <c r="D196" s="78" t="n">
        <v>0</v>
      </c>
      <c r="E196" s="79" t="n">
        <v>12735.28</v>
      </c>
      <c r="F196" s="63" t="n">
        <v>0</v>
      </c>
      <c r="G196" s="78" t="n">
        <v>0</v>
      </c>
      <c r="H196" s="78" t="n">
        <v>0</v>
      </c>
      <c r="I196" s="78" t="n">
        <v>0</v>
      </c>
      <c r="J196" s="78" t="n">
        <v>0</v>
      </c>
      <c r="K196" s="78" t="n">
        <v>0</v>
      </c>
      <c r="L196" s="78" t="n">
        <v>0</v>
      </c>
      <c r="M196" s="78" t="n">
        <v>12735.28</v>
      </c>
      <c r="N196" s="78" t="n">
        <v>0</v>
      </c>
      <c r="O196" s="78" t="n">
        <v>0</v>
      </c>
      <c r="P196" s="80" t="n">
        <v>0</v>
      </c>
      <c r="Q196" s="73" t="n">
        <v>7000</v>
      </c>
      <c r="R196" s="72" t="n">
        <v>0</v>
      </c>
      <c r="S196" s="72"/>
      <c r="T196" s="72" t="n">
        <v>0</v>
      </c>
      <c r="U196" s="72" t="n">
        <v>0</v>
      </c>
      <c r="V196" s="72" t="n">
        <v>0</v>
      </c>
      <c r="W196" s="73" t="n">
        <v>5735.28</v>
      </c>
      <c r="X196" s="72" t="n">
        <v>0</v>
      </c>
      <c r="Y196" s="72" t="n">
        <v>0</v>
      </c>
      <c r="Z196" s="72" t="n">
        <v>0</v>
      </c>
      <c r="AA196" s="72" t="n">
        <v>0</v>
      </c>
      <c r="AB196" s="72" t="n">
        <v>0</v>
      </c>
      <c r="AC196" s="72" t="n">
        <v>0</v>
      </c>
      <c r="AD196" s="72" t="n">
        <v>0</v>
      </c>
      <c r="AE196" s="74" t="n">
        <v>0</v>
      </c>
      <c r="AF196" s="75" t="n">
        <v>0</v>
      </c>
      <c r="AG196" s="81"/>
      <c r="AH196" s="71"/>
    </row>
    <row r="197" customFormat="false" ht="15.75" hidden="false" customHeight="true" outlineLevel="0" collapsed="false">
      <c r="A197" s="76"/>
      <c r="B197" s="76"/>
      <c r="C197" s="77"/>
      <c r="D197" s="78"/>
      <c r="E197" s="79"/>
      <c r="F197" s="63"/>
      <c r="G197" s="78"/>
      <c r="H197" s="78"/>
      <c r="I197" s="78"/>
      <c r="J197" s="78"/>
      <c r="K197" s="78"/>
      <c r="L197" s="78"/>
      <c r="M197" s="78"/>
      <c r="N197" s="78"/>
      <c r="O197" s="78"/>
      <c r="P197" s="80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4"/>
      <c r="AF197" s="75"/>
      <c r="AG197" s="81"/>
      <c r="AH197" s="71"/>
    </row>
    <row r="198" customFormat="false" ht="15.75" hidden="false" customHeight="true" outlineLevel="0" collapsed="false">
      <c r="A198" s="76"/>
      <c r="B198" s="76"/>
      <c r="C198" s="77"/>
      <c r="D198" s="78"/>
      <c r="E198" s="79"/>
      <c r="F198" s="63"/>
      <c r="G198" s="78"/>
      <c r="H198" s="78"/>
      <c r="I198" s="78"/>
      <c r="J198" s="78"/>
      <c r="K198" s="78"/>
      <c r="L198" s="78"/>
      <c r="M198" s="78"/>
      <c r="N198" s="78"/>
      <c r="O198" s="78"/>
      <c r="P198" s="80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4"/>
      <c r="AF198" s="75"/>
      <c r="AG198" s="81"/>
      <c r="AH198" s="71"/>
    </row>
    <row r="199" customFormat="false" ht="15.75" hidden="false" customHeight="true" outlineLevel="0" collapsed="false">
      <c r="A199" s="76"/>
      <c r="B199" s="76"/>
      <c r="C199" s="77"/>
      <c r="D199" s="78"/>
      <c r="E199" s="79"/>
      <c r="F199" s="63"/>
      <c r="G199" s="78"/>
      <c r="H199" s="78"/>
      <c r="I199" s="78"/>
      <c r="J199" s="78"/>
      <c r="K199" s="78"/>
      <c r="L199" s="78"/>
      <c r="M199" s="78"/>
      <c r="N199" s="78"/>
      <c r="O199" s="78"/>
      <c r="P199" s="80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4"/>
      <c r="AF199" s="75"/>
      <c r="AG199" s="81"/>
      <c r="AH199" s="71"/>
    </row>
    <row r="200" customFormat="false" ht="15.75" hidden="false" customHeight="true" outlineLevel="0" collapsed="false">
      <c r="A200" s="76"/>
      <c r="B200" s="76"/>
      <c r="C200" s="77"/>
      <c r="D200" s="78"/>
      <c r="E200" s="79"/>
      <c r="F200" s="63"/>
      <c r="G200" s="78"/>
      <c r="H200" s="78"/>
      <c r="I200" s="78"/>
      <c r="J200" s="78"/>
      <c r="K200" s="78"/>
      <c r="L200" s="78"/>
      <c r="M200" s="78"/>
      <c r="N200" s="78"/>
      <c r="O200" s="78"/>
      <c r="P200" s="80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4"/>
      <c r="AF200" s="75"/>
      <c r="AG200" s="81"/>
      <c r="AH200" s="71"/>
    </row>
    <row r="201" customFormat="false" ht="15.75" hidden="false" customHeight="true" outlineLevel="0" collapsed="false">
      <c r="A201" s="76"/>
      <c r="B201" s="76"/>
      <c r="C201" s="77"/>
      <c r="D201" s="78"/>
      <c r="E201" s="79"/>
      <c r="F201" s="63"/>
      <c r="G201" s="78"/>
      <c r="H201" s="78"/>
      <c r="I201" s="78"/>
      <c r="J201" s="78"/>
      <c r="K201" s="78"/>
      <c r="L201" s="78"/>
      <c r="M201" s="78"/>
      <c r="N201" s="78"/>
      <c r="O201" s="78"/>
      <c r="P201" s="80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4"/>
      <c r="AF201" s="75"/>
      <c r="AG201" s="81"/>
      <c r="AH201" s="71"/>
    </row>
    <row r="202" customFormat="false" ht="15.75" hidden="false" customHeight="true" outlineLevel="0" collapsed="false">
      <c r="A202" s="76"/>
      <c r="B202" s="76"/>
      <c r="C202" s="77"/>
      <c r="D202" s="78"/>
      <c r="E202" s="79"/>
      <c r="F202" s="63"/>
      <c r="G202" s="78"/>
      <c r="H202" s="78"/>
      <c r="I202" s="78"/>
      <c r="J202" s="78"/>
      <c r="K202" s="78"/>
      <c r="L202" s="78"/>
      <c r="M202" s="78"/>
      <c r="N202" s="78"/>
      <c r="O202" s="78"/>
      <c r="P202" s="80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4"/>
      <c r="AF202" s="75"/>
      <c r="AG202" s="81"/>
      <c r="AH202" s="71"/>
    </row>
    <row r="203" customFormat="false" ht="15.75" hidden="false" customHeight="true" outlineLevel="0" collapsed="false">
      <c r="A203" s="76"/>
      <c r="B203" s="76"/>
      <c r="C203" s="77"/>
      <c r="D203" s="78"/>
      <c r="E203" s="79"/>
      <c r="F203" s="63"/>
      <c r="G203" s="78"/>
      <c r="H203" s="78"/>
      <c r="I203" s="78"/>
      <c r="J203" s="78"/>
      <c r="K203" s="78"/>
      <c r="L203" s="78"/>
      <c r="M203" s="78"/>
      <c r="N203" s="78"/>
      <c r="O203" s="78"/>
      <c r="P203" s="80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4"/>
      <c r="AF203" s="75"/>
      <c r="AG203" s="81"/>
      <c r="AH203" s="71"/>
    </row>
    <row r="204" customFormat="false" ht="15.75" hidden="false" customHeight="true" outlineLevel="0" collapsed="false">
      <c r="A204" s="76"/>
      <c r="B204" s="76"/>
      <c r="C204" s="77"/>
      <c r="D204" s="78"/>
      <c r="E204" s="79"/>
      <c r="F204" s="63"/>
      <c r="G204" s="78"/>
      <c r="H204" s="78"/>
      <c r="I204" s="78"/>
      <c r="J204" s="78"/>
      <c r="K204" s="78"/>
      <c r="L204" s="78"/>
      <c r="M204" s="78"/>
      <c r="N204" s="78"/>
      <c r="O204" s="78"/>
      <c r="P204" s="80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4"/>
      <c r="AF204" s="75"/>
      <c r="AG204" s="81"/>
      <c r="AH204" s="71"/>
    </row>
    <row r="205" customFormat="false" ht="15.75" hidden="false" customHeight="true" outlineLevel="0" collapsed="false">
      <c r="A205" s="76"/>
      <c r="B205" s="76"/>
      <c r="C205" s="77"/>
      <c r="D205" s="78"/>
      <c r="E205" s="79"/>
      <c r="F205" s="63"/>
      <c r="G205" s="78"/>
      <c r="H205" s="78"/>
      <c r="I205" s="78"/>
      <c r="J205" s="78"/>
      <c r="K205" s="78"/>
      <c r="L205" s="78"/>
      <c r="M205" s="78"/>
      <c r="N205" s="78"/>
      <c r="O205" s="78"/>
      <c r="P205" s="80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4"/>
      <c r="AF205" s="75"/>
      <c r="AG205" s="81"/>
      <c r="AH205" s="71"/>
    </row>
    <row r="206" customFormat="false" ht="15.75" hidden="false" customHeight="true" outlineLevel="0" collapsed="false">
      <c r="A206" s="76"/>
      <c r="B206" s="76"/>
      <c r="C206" s="77"/>
      <c r="D206" s="78"/>
      <c r="E206" s="79"/>
      <c r="F206" s="63"/>
      <c r="G206" s="78"/>
      <c r="H206" s="78"/>
      <c r="I206" s="78"/>
      <c r="J206" s="78"/>
      <c r="K206" s="78"/>
      <c r="L206" s="78"/>
      <c r="M206" s="78"/>
      <c r="N206" s="78"/>
      <c r="O206" s="78"/>
      <c r="P206" s="80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4"/>
      <c r="AF206" s="75"/>
      <c r="AG206" s="81"/>
      <c r="AH206" s="71"/>
    </row>
    <row r="207" customFormat="false" ht="15.75" hidden="false" customHeight="true" outlineLevel="0" collapsed="false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S207" s="2"/>
      <c r="T207" s="2"/>
      <c r="U207" s="2"/>
      <c r="V207" s="2"/>
      <c r="W207" s="2"/>
      <c r="X207" s="2"/>
      <c r="Y207" s="2"/>
      <c r="Z207" s="90"/>
      <c r="AA207" s="2"/>
      <c r="AB207" s="2"/>
      <c r="AC207" s="2"/>
      <c r="AD207" s="2"/>
      <c r="AE207" s="2"/>
      <c r="AF207" s="2"/>
      <c r="AH207" s="8"/>
    </row>
    <row r="208" customFormat="false" ht="15.75" hidden="false" customHeight="true" outlineLevel="0" collapsed="false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S208" s="2"/>
      <c r="T208" s="2"/>
      <c r="U208" s="2"/>
      <c r="V208" s="2"/>
      <c r="W208" s="2"/>
      <c r="X208" s="2"/>
      <c r="Y208" s="2"/>
      <c r="Z208" s="90"/>
      <c r="AA208" s="2"/>
      <c r="AB208" s="2"/>
      <c r="AC208" s="2"/>
      <c r="AD208" s="2"/>
      <c r="AE208" s="2"/>
      <c r="AF208" s="2"/>
      <c r="AH208" s="8"/>
    </row>
    <row r="209" customFormat="false" ht="15.75" hidden="false" customHeight="true" outlineLevel="0" collapsed="false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S209" s="2"/>
      <c r="T209" s="2"/>
      <c r="U209" s="2"/>
      <c r="V209" s="2"/>
      <c r="W209" s="2"/>
      <c r="X209" s="2"/>
      <c r="Y209" s="2"/>
      <c r="Z209" s="90"/>
      <c r="AA209" s="2"/>
      <c r="AB209" s="2"/>
      <c r="AC209" s="2"/>
      <c r="AD209" s="2"/>
      <c r="AE209" s="2"/>
      <c r="AF209" s="2"/>
      <c r="AH209" s="8"/>
    </row>
    <row r="210" customFormat="false" ht="15.75" hidden="false" customHeight="true" outlineLevel="0" collapsed="false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S210" s="2"/>
      <c r="T210" s="2"/>
      <c r="U210" s="2"/>
      <c r="V210" s="2"/>
      <c r="W210" s="2"/>
      <c r="X210" s="2"/>
      <c r="Y210" s="2"/>
      <c r="Z210" s="90"/>
      <c r="AA210" s="2"/>
      <c r="AB210" s="2"/>
      <c r="AC210" s="2"/>
      <c r="AD210" s="2"/>
      <c r="AE210" s="2"/>
      <c r="AF210" s="2"/>
      <c r="AH210" s="8"/>
    </row>
    <row r="211" customFormat="false" ht="15.75" hidden="false" customHeight="true" outlineLevel="0" collapsed="false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S211" s="2"/>
      <c r="T211" s="2"/>
      <c r="U211" s="2"/>
      <c r="V211" s="2"/>
      <c r="W211" s="2"/>
      <c r="X211" s="2"/>
      <c r="Y211" s="2"/>
      <c r="Z211" s="90"/>
      <c r="AA211" s="2"/>
      <c r="AB211" s="2"/>
      <c r="AC211" s="2"/>
      <c r="AD211" s="2"/>
      <c r="AE211" s="2"/>
      <c r="AF211" s="2"/>
      <c r="AH211" s="8"/>
    </row>
    <row r="212" customFormat="false" ht="15.75" hidden="false" customHeight="true" outlineLevel="0" collapsed="false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S212" s="2"/>
      <c r="T212" s="2"/>
      <c r="U212" s="2"/>
      <c r="V212" s="2"/>
      <c r="W212" s="2"/>
      <c r="X212" s="2"/>
      <c r="Y212" s="2"/>
      <c r="Z212" s="90"/>
      <c r="AA212" s="2"/>
      <c r="AB212" s="2"/>
      <c r="AC212" s="2"/>
      <c r="AD212" s="2"/>
      <c r="AE212" s="2"/>
      <c r="AF212" s="2"/>
      <c r="AH212" s="8"/>
    </row>
    <row r="213" customFormat="false" ht="15.75" hidden="false" customHeight="true" outlineLevel="0" collapsed="false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S213" s="2"/>
      <c r="T213" s="2"/>
      <c r="U213" s="2"/>
      <c r="V213" s="2"/>
      <c r="W213" s="2"/>
      <c r="X213" s="2"/>
      <c r="Y213" s="2"/>
      <c r="Z213" s="90"/>
      <c r="AA213" s="2"/>
      <c r="AB213" s="2"/>
      <c r="AC213" s="2"/>
      <c r="AD213" s="2"/>
      <c r="AE213" s="2"/>
      <c r="AF213" s="2"/>
      <c r="AH213" s="8"/>
    </row>
    <row r="214" customFormat="false" ht="15.75" hidden="false" customHeight="true" outlineLevel="0" collapsed="false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S214" s="2"/>
      <c r="T214" s="2"/>
      <c r="U214" s="2"/>
      <c r="V214" s="2"/>
      <c r="W214" s="2"/>
      <c r="X214" s="2"/>
      <c r="Y214" s="2"/>
      <c r="Z214" s="90"/>
      <c r="AA214" s="2"/>
      <c r="AB214" s="2"/>
      <c r="AC214" s="2"/>
      <c r="AD214" s="2"/>
      <c r="AE214" s="2"/>
      <c r="AF214" s="2"/>
      <c r="AH214" s="8"/>
    </row>
    <row r="215" customFormat="false" ht="15.75" hidden="false" customHeight="true" outlineLevel="0" collapsed="false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S215" s="2"/>
      <c r="T215" s="2"/>
      <c r="U215" s="2"/>
      <c r="V215" s="2"/>
      <c r="W215" s="2"/>
      <c r="X215" s="2"/>
      <c r="Y215" s="2"/>
      <c r="Z215" s="90"/>
      <c r="AA215" s="2"/>
      <c r="AB215" s="2"/>
      <c r="AC215" s="2"/>
      <c r="AD215" s="2"/>
      <c r="AE215" s="2"/>
      <c r="AF215" s="2"/>
      <c r="AH215" s="8"/>
    </row>
    <row r="216" customFormat="false" ht="15.75" hidden="false" customHeight="true" outlineLevel="0" collapsed="false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S216" s="2"/>
      <c r="T216" s="2"/>
      <c r="U216" s="2"/>
      <c r="V216" s="2"/>
      <c r="W216" s="2"/>
      <c r="X216" s="2"/>
      <c r="Y216" s="2"/>
      <c r="Z216" s="90"/>
      <c r="AA216" s="2"/>
      <c r="AB216" s="2"/>
      <c r="AC216" s="2"/>
      <c r="AD216" s="2"/>
      <c r="AE216" s="2"/>
      <c r="AF216" s="2"/>
      <c r="AH216" s="8"/>
    </row>
    <row r="217" customFormat="false" ht="15.75" hidden="false" customHeight="true" outlineLevel="0" collapsed="false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S217" s="2"/>
      <c r="T217" s="2"/>
      <c r="U217" s="2"/>
      <c r="V217" s="2"/>
      <c r="W217" s="2"/>
      <c r="X217" s="2"/>
      <c r="Y217" s="2"/>
      <c r="Z217" s="90"/>
      <c r="AA217" s="2"/>
      <c r="AB217" s="2"/>
      <c r="AC217" s="2"/>
      <c r="AD217" s="2"/>
      <c r="AE217" s="2"/>
      <c r="AF217" s="2"/>
      <c r="AH217" s="8"/>
    </row>
    <row r="218" customFormat="false" ht="15.75" hidden="false" customHeight="true" outlineLevel="0" collapsed="false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S218" s="2"/>
      <c r="T218" s="2"/>
      <c r="U218" s="2"/>
      <c r="V218" s="2"/>
      <c r="W218" s="2"/>
      <c r="X218" s="2"/>
      <c r="Y218" s="2"/>
      <c r="Z218" s="90"/>
      <c r="AA218" s="2"/>
      <c r="AB218" s="2"/>
      <c r="AC218" s="2"/>
      <c r="AD218" s="2"/>
      <c r="AE218" s="2"/>
      <c r="AF218" s="2"/>
      <c r="AH218" s="8"/>
    </row>
    <row r="219" customFormat="false" ht="15.75" hidden="false" customHeight="true" outlineLevel="0" collapsed="false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S219" s="2"/>
      <c r="T219" s="2"/>
      <c r="U219" s="2"/>
      <c r="V219" s="2"/>
      <c r="W219" s="2"/>
      <c r="X219" s="2"/>
      <c r="Y219" s="2"/>
      <c r="Z219" s="90"/>
      <c r="AA219" s="2"/>
      <c r="AB219" s="2"/>
      <c r="AC219" s="2"/>
      <c r="AD219" s="2"/>
      <c r="AE219" s="2"/>
      <c r="AF219" s="2"/>
      <c r="AH219" s="8"/>
    </row>
    <row r="220" customFormat="false" ht="15.75" hidden="false" customHeight="true" outlineLevel="0" collapsed="false">
      <c r="A220" s="91" t="n">
        <v>2026</v>
      </c>
      <c r="B220" s="91" t="s">
        <v>261</v>
      </c>
      <c r="C220" s="92"/>
      <c r="D220" s="92"/>
      <c r="E220" s="92"/>
      <c r="F220" s="92"/>
      <c r="G220" s="92"/>
      <c r="H220" s="92"/>
      <c r="I220" s="92"/>
      <c r="J220" s="92"/>
      <c r="K220" s="93"/>
      <c r="L220" s="92"/>
      <c r="M220" s="92"/>
      <c r="N220" s="94" t="n">
        <v>2026</v>
      </c>
      <c r="O220" s="95" t="s">
        <v>262</v>
      </c>
      <c r="P220" s="96" t="n">
        <f aca="false">SUM(P221:P228)</f>
        <v>0</v>
      </c>
      <c r="Q220" s="97" t="s">
        <v>263</v>
      </c>
      <c r="R220" s="98" t="s">
        <v>264</v>
      </c>
      <c r="S220" s="98" t="s">
        <v>7</v>
      </c>
      <c r="T220" s="98"/>
      <c r="U220" s="98"/>
      <c r="V220" s="98" t="s">
        <v>9</v>
      </c>
      <c r="W220" s="98" t="s">
        <v>265</v>
      </c>
      <c r="X220" s="98" t="s">
        <v>266</v>
      </c>
      <c r="Y220" s="98"/>
      <c r="Z220" s="98" t="s">
        <v>10</v>
      </c>
      <c r="AA220" s="98" t="s">
        <v>38</v>
      </c>
      <c r="AB220" s="98"/>
      <c r="AC220" s="98" t="s">
        <v>267</v>
      </c>
      <c r="AD220" s="98" t="s">
        <v>13</v>
      </c>
      <c r="AE220" s="98" t="s">
        <v>15</v>
      </c>
      <c r="AF220" s="98" t="s">
        <v>16</v>
      </c>
      <c r="AH220" s="8"/>
    </row>
    <row r="221" customFormat="false" ht="15.75" hidden="false" customHeight="true" outlineLevel="0" collapsed="false">
      <c r="A221" s="61"/>
      <c r="B221" s="99"/>
      <c r="C221" s="100"/>
      <c r="D221" s="100"/>
      <c r="E221" s="100"/>
      <c r="F221" s="100"/>
      <c r="G221" s="100"/>
      <c r="H221" s="100"/>
      <c r="I221" s="100"/>
      <c r="J221" s="100"/>
      <c r="K221" s="100"/>
      <c r="L221" s="100"/>
      <c r="M221" s="100"/>
      <c r="N221" s="100"/>
      <c r="O221" s="83"/>
      <c r="P221" s="101"/>
      <c r="Q221" s="102"/>
      <c r="R221" s="103"/>
      <c r="S221" s="104"/>
      <c r="T221" s="104"/>
      <c r="U221" s="104"/>
      <c r="V221" s="105"/>
      <c r="W221" s="105"/>
      <c r="X221" s="105"/>
      <c r="Y221" s="105"/>
      <c r="Z221" s="105"/>
      <c r="AA221" s="105"/>
      <c r="AB221" s="105"/>
      <c r="AC221" s="105"/>
      <c r="AD221" s="105"/>
      <c r="AE221" s="105"/>
      <c r="AF221" s="105"/>
      <c r="AH221" s="8"/>
    </row>
    <row r="222" customFormat="false" ht="15.75" hidden="false" customHeight="true" outlineLevel="0" collapsed="false">
      <c r="A222" s="61"/>
      <c r="B222" s="99"/>
      <c r="C222" s="100"/>
      <c r="D222" s="100"/>
      <c r="E222" s="100"/>
      <c r="F222" s="100"/>
      <c r="G222" s="100"/>
      <c r="H222" s="100"/>
      <c r="I222" s="100"/>
      <c r="J222" s="100"/>
      <c r="K222" s="100"/>
      <c r="L222" s="100"/>
      <c r="M222" s="100"/>
      <c r="N222" s="100"/>
      <c r="O222" s="83"/>
      <c r="P222" s="101"/>
      <c r="Q222" s="106"/>
      <c r="R222" s="107"/>
      <c r="S222" s="105"/>
      <c r="T222" s="105"/>
      <c r="U222" s="105"/>
      <c r="V222" s="104"/>
      <c r="W222" s="105"/>
      <c r="X222" s="105"/>
      <c r="Y222" s="105"/>
      <c r="Z222" s="105"/>
      <c r="AA222" s="105"/>
      <c r="AB222" s="105"/>
      <c r="AC222" s="105"/>
      <c r="AD222" s="105"/>
      <c r="AE222" s="105"/>
      <c r="AF222" s="105"/>
      <c r="AH222" s="8"/>
    </row>
    <row r="223" customFormat="false" ht="15.75" hidden="false" customHeight="true" outlineLevel="0" collapsed="false">
      <c r="A223" s="61"/>
      <c r="B223" s="99"/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83"/>
      <c r="P223" s="101"/>
      <c r="Q223" s="106"/>
      <c r="R223" s="107"/>
      <c r="S223" s="105"/>
      <c r="T223" s="105"/>
      <c r="U223" s="105"/>
      <c r="V223" s="104"/>
      <c r="W223" s="105"/>
      <c r="X223" s="105"/>
      <c r="Y223" s="105"/>
      <c r="Z223" s="105"/>
      <c r="AA223" s="105"/>
      <c r="AB223" s="105"/>
      <c r="AC223" s="105"/>
      <c r="AD223" s="105"/>
      <c r="AE223" s="105"/>
      <c r="AF223" s="105"/>
      <c r="AH223" s="8"/>
    </row>
    <row r="224" customFormat="false" ht="15.75" hidden="false" customHeight="true" outlineLevel="0" collapsed="false">
      <c r="A224" s="61"/>
      <c r="B224" s="99"/>
      <c r="C224" s="100"/>
      <c r="D224" s="100"/>
      <c r="E224" s="100"/>
      <c r="F224" s="100"/>
      <c r="G224" s="100"/>
      <c r="H224" s="100"/>
      <c r="I224" s="100"/>
      <c r="J224" s="100"/>
      <c r="K224" s="100"/>
      <c r="L224" s="100"/>
      <c r="M224" s="100"/>
      <c r="N224" s="100"/>
      <c r="O224" s="83"/>
      <c r="P224" s="101"/>
      <c r="Q224" s="106"/>
      <c r="R224" s="107"/>
      <c r="S224" s="105"/>
      <c r="T224" s="105"/>
      <c r="U224" s="105"/>
      <c r="V224" s="104"/>
      <c r="W224" s="105"/>
      <c r="X224" s="105"/>
      <c r="Y224" s="105"/>
      <c r="Z224" s="105"/>
      <c r="AA224" s="105"/>
      <c r="AB224" s="105"/>
      <c r="AC224" s="105"/>
      <c r="AD224" s="105"/>
      <c r="AE224" s="105"/>
      <c r="AF224" s="105"/>
      <c r="AH224" s="8"/>
    </row>
    <row r="225" customFormat="false" ht="15.75" hidden="false" customHeight="true" outlineLevel="0" collapsed="false">
      <c r="A225" s="61"/>
      <c r="B225" s="99"/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83"/>
      <c r="P225" s="101"/>
      <c r="Q225" s="106"/>
      <c r="R225" s="107"/>
      <c r="S225" s="105"/>
      <c r="T225" s="105"/>
      <c r="U225" s="105"/>
      <c r="V225" s="104"/>
      <c r="W225" s="105"/>
      <c r="X225" s="105"/>
      <c r="Y225" s="105"/>
      <c r="Z225" s="105"/>
      <c r="AA225" s="105"/>
      <c r="AB225" s="105"/>
      <c r="AC225" s="105"/>
      <c r="AD225" s="105"/>
      <c r="AE225" s="105"/>
      <c r="AF225" s="105"/>
      <c r="AH225" s="8"/>
    </row>
    <row r="226" customFormat="false" ht="15.75" hidden="false" customHeight="true" outlineLevel="0" collapsed="false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S226" s="2"/>
      <c r="T226" s="2"/>
      <c r="U226" s="2"/>
      <c r="V226" s="2"/>
      <c r="W226" s="2"/>
      <c r="X226" s="2"/>
      <c r="Y226" s="2"/>
      <c r="Z226" s="90"/>
      <c r="AA226" s="2"/>
      <c r="AB226" s="2"/>
      <c r="AC226" s="2"/>
      <c r="AD226" s="2"/>
      <c r="AE226" s="2"/>
      <c r="AF226" s="2"/>
      <c r="AH226" s="8"/>
    </row>
    <row r="227" customFormat="false" ht="15.75" hidden="false" customHeight="true" outlineLevel="0" collapsed="false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S227" s="2"/>
      <c r="T227" s="2"/>
      <c r="U227" s="2"/>
      <c r="V227" s="2"/>
      <c r="W227" s="2"/>
      <c r="X227" s="2"/>
      <c r="Y227" s="2"/>
      <c r="Z227" s="90"/>
      <c r="AA227" s="2"/>
      <c r="AB227" s="2"/>
      <c r="AC227" s="2"/>
      <c r="AD227" s="2"/>
      <c r="AE227" s="2"/>
      <c r="AF227" s="2"/>
      <c r="AH227" s="8"/>
    </row>
    <row r="228" customFormat="false" ht="15.75" hidden="false" customHeight="true" outlineLevel="0" collapsed="false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S228" s="2"/>
      <c r="T228" s="2"/>
      <c r="U228" s="2"/>
      <c r="V228" s="2"/>
      <c r="W228" s="2"/>
      <c r="X228" s="2"/>
      <c r="Y228" s="2"/>
      <c r="Z228" s="90"/>
      <c r="AA228" s="2"/>
      <c r="AB228" s="2"/>
      <c r="AC228" s="2"/>
      <c r="AD228" s="2"/>
      <c r="AE228" s="2"/>
      <c r="AF228" s="2"/>
      <c r="AH228" s="8"/>
    </row>
    <row r="229" customFormat="false" ht="15.75" hidden="false" customHeight="true" outlineLevel="0" collapsed="false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S229" s="2"/>
      <c r="T229" s="2"/>
      <c r="U229" s="2"/>
      <c r="V229" s="2"/>
      <c r="W229" s="2"/>
      <c r="X229" s="2"/>
      <c r="Y229" s="2"/>
      <c r="Z229" s="90"/>
      <c r="AA229" s="2"/>
      <c r="AB229" s="2"/>
      <c r="AC229" s="2"/>
      <c r="AD229" s="2"/>
      <c r="AE229" s="2"/>
      <c r="AF229" s="2"/>
      <c r="AH229" s="8"/>
    </row>
    <row r="230" customFormat="false" ht="15.75" hidden="false" customHeight="true" outlineLevel="0" collapsed="false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S230" s="2"/>
      <c r="T230" s="2"/>
      <c r="U230" s="2"/>
      <c r="V230" s="2"/>
      <c r="W230" s="2"/>
      <c r="X230" s="2"/>
      <c r="Y230" s="2"/>
      <c r="Z230" s="90"/>
      <c r="AA230" s="2"/>
      <c r="AB230" s="2"/>
      <c r="AC230" s="2"/>
      <c r="AD230" s="2"/>
      <c r="AE230" s="2"/>
      <c r="AF230" s="2"/>
      <c r="AH230" s="8"/>
    </row>
    <row r="231" customFormat="false" ht="15.75" hidden="false" customHeight="true" outlineLevel="0" collapsed="false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108"/>
      <c r="S231" s="109"/>
      <c r="T231" s="109"/>
      <c r="U231" s="109"/>
      <c r="V231" s="109"/>
      <c r="W231" s="109"/>
      <c r="X231" s="109"/>
      <c r="Y231" s="109"/>
      <c r="Z231" s="109"/>
      <c r="AA231" s="109"/>
      <c r="AB231" s="109"/>
      <c r="AC231" s="109"/>
      <c r="AD231" s="109"/>
      <c r="AE231" s="109" t="n">
        <f aca="false">SUM(AE233:AE278)</f>
        <v>0</v>
      </c>
      <c r="AF231" s="109" t="n">
        <f aca="false">SUM(AF233:AF278)</f>
        <v>0</v>
      </c>
      <c r="AH231" s="8"/>
    </row>
    <row r="232" customFormat="false" ht="15.75" hidden="false" customHeight="true" outlineLevel="0" collapsed="false">
      <c r="A232" s="91" t="n">
        <v>2025</v>
      </c>
      <c r="B232" s="91" t="s">
        <v>261</v>
      </c>
      <c r="C232" s="92"/>
      <c r="D232" s="92"/>
      <c r="E232" s="92"/>
      <c r="F232" s="92"/>
      <c r="G232" s="92"/>
      <c r="H232" s="92"/>
      <c r="I232" s="92"/>
      <c r="J232" s="92"/>
      <c r="K232" s="93"/>
      <c r="L232" s="92"/>
      <c r="M232" s="92"/>
      <c r="N232" s="94" t="n">
        <v>2025</v>
      </c>
      <c r="O232" s="95" t="s">
        <v>262</v>
      </c>
      <c r="P232" s="96" t="n">
        <f aca="false">SUM(P233:P240)</f>
        <v>70948</v>
      </c>
      <c r="Q232" s="97" t="s">
        <v>263</v>
      </c>
      <c r="R232" s="98" t="s">
        <v>264</v>
      </c>
      <c r="S232" s="98" t="s">
        <v>7</v>
      </c>
      <c r="T232" s="98"/>
      <c r="U232" s="98"/>
      <c r="V232" s="98" t="s">
        <v>9</v>
      </c>
      <c r="W232" s="98" t="s">
        <v>265</v>
      </c>
      <c r="X232" s="98" t="s">
        <v>266</v>
      </c>
      <c r="Y232" s="98"/>
      <c r="Z232" s="98" t="s">
        <v>10</v>
      </c>
      <c r="AA232" s="98" t="s">
        <v>38</v>
      </c>
      <c r="AB232" s="98"/>
      <c r="AC232" s="98" t="s">
        <v>267</v>
      </c>
      <c r="AD232" s="98" t="s">
        <v>13</v>
      </c>
      <c r="AE232" s="98" t="s">
        <v>15</v>
      </c>
      <c r="AF232" s="98" t="s">
        <v>16</v>
      </c>
      <c r="AH232" s="8"/>
    </row>
    <row r="233" customFormat="false" ht="15.75" hidden="false" customHeight="true" outlineLevel="0" collapsed="false">
      <c r="A233" s="61" t="n">
        <v>45785</v>
      </c>
      <c r="B233" s="99" t="s">
        <v>268</v>
      </c>
      <c r="C233" s="100" t="s">
        <v>269</v>
      </c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83"/>
      <c r="P233" s="101" t="n">
        <v>4470</v>
      </c>
      <c r="Q233" s="102" t="s">
        <v>270</v>
      </c>
      <c r="R233" s="103" t="s">
        <v>271</v>
      </c>
      <c r="S233" s="104"/>
      <c r="T233" s="104"/>
      <c r="U233" s="104"/>
      <c r="V233" s="105"/>
      <c r="W233" s="105"/>
      <c r="X233" s="105"/>
      <c r="Y233" s="105"/>
      <c r="Z233" s="105"/>
      <c r="AA233" s="105"/>
      <c r="AB233" s="105"/>
      <c r="AC233" s="105"/>
      <c r="AD233" s="105" t="n">
        <v>4470</v>
      </c>
      <c r="AE233" s="105"/>
      <c r="AF233" s="105"/>
      <c r="AH233" s="8"/>
    </row>
    <row r="234" customFormat="false" ht="15.75" hidden="false" customHeight="true" outlineLevel="0" collapsed="false">
      <c r="A234" s="61" t="n">
        <v>45785</v>
      </c>
      <c r="B234" s="99" t="s">
        <v>272</v>
      </c>
      <c r="C234" s="100" t="s">
        <v>273</v>
      </c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83"/>
      <c r="P234" s="101" t="n">
        <v>13449</v>
      </c>
      <c r="Q234" s="106" t="s">
        <v>270</v>
      </c>
      <c r="R234" s="107" t="s">
        <v>274</v>
      </c>
      <c r="S234" s="105"/>
      <c r="T234" s="105"/>
      <c r="U234" s="105"/>
      <c r="V234" s="104"/>
      <c r="W234" s="105"/>
      <c r="X234" s="105"/>
      <c r="Y234" s="105"/>
      <c r="Z234" s="105"/>
      <c r="AA234" s="105"/>
      <c r="AB234" s="105"/>
      <c r="AC234" s="105"/>
      <c r="AD234" s="105" t="n">
        <v>13449</v>
      </c>
      <c r="AE234" s="105"/>
      <c r="AF234" s="105"/>
      <c r="AH234" s="8"/>
    </row>
    <row r="235" customFormat="false" ht="15.75" hidden="false" customHeight="true" outlineLevel="0" collapsed="false">
      <c r="A235" s="61" t="n">
        <v>45807</v>
      </c>
      <c r="B235" s="99" t="s">
        <v>275</v>
      </c>
      <c r="C235" s="100" t="s">
        <v>276</v>
      </c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83"/>
      <c r="P235" s="101" t="n">
        <v>10030</v>
      </c>
      <c r="Q235" s="106" t="s">
        <v>270</v>
      </c>
      <c r="R235" s="107" t="s">
        <v>274</v>
      </c>
      <c r="S235" s="105"/>
      <c r="T235" s="105"/>
      <c r="U235" s="105"/>
      <c r="V235" s="104"/>
      <c r="W235" s="105"/>
      <c r="X235" s="105" t="n">
        <v>10030</v>
      </c>
      <c r="Y235" s="105"/>
      <c r="Z235" s="105"/>
      <c r="AA235" s="105"/>
      <c r="AB235" s="105"/>
      <c r="AC235" s="105"/>
      <c r="AD235" s="105"/>
      <c r="AE235" s="105"/>
      <c r="AF235" s="105"/>
      <c r="AH235" s="8"/>
    </row>
    <row r="236" customFormat="false" ht="15.75" hidden="false" customHeight="true" outlineLevel="0" collapsed="false">
      <c r="A236" s="61" t="n">
        <v>45866</v>
      </c>
      <c r="B236" s="99" t="s">
        <v>277</v>
      </c>
      <c r="C236" s="100" t="s">
        <v>273</v>
      </c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83"/>
      <c r="P236" s="101" t="n">
        <v>2000</v>
      </c>
      <c r="Q236" s="106" t="s">
        <v>270</v>
      </c>
      <c r="R236" s="107" t="s">
        <v>278</v>
      </c>
      <c r="S236" s="105"/>
      <c r="T236" s="105"/>
      <c r="U236" s="105"/>
      <c r="V236" s="104"/>
      <c r="W236" s="105"/>
      <c r="X236" s="105"/>
      <c r="Y236" s="105"/>
      <c r="Z236" s="105"/>
      <c r="AA236" s="105" t="n">
        <v>2000</v>
      </c>
      <c r="AB236" s="105"/>
      <c r="AC236" s="105"/>
      <c r="AD236" s="105"/>
      <c r="AE236" s="105"/>
      <c r="AF236" s="105"/>
      <c r="AH236" s="8"/>
    </row>
    <row r="237" customFormat="false" ht="15.75" hidden="false" customHeight="true" outlineLevel="0" collapsed="false">
      <c r="A237" s="61" t="n">
        <v>45898</v>
      </c>
      <c r="B237" s="99" t="s">
        <v>279</v>
      </c>
      <c r="C237" s="100" t="s">
        <v>273</v>
      </c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83"/>
      <c r="P237" s="101" t="n">
        <v>13850</v>
      </c>
      <c r="Q237" s="106" t="s">
        <v>270</v>
      </c>
      <c r="R237" s="107" t="s">
        <v>280</v>
      </c>
      <c r="S237" s="105"/>
      <c r="T237" s="105"/>
      <c r="U237" s="105"/>
      <c r="V237" s="104" t="n">
        <v>13850</v>
      </c>
      <c r="W237" s="105"/>
      <c r="X237" s="105"/>
      <c r="Y237" s="105"/>
      <c r="Z237" s="105"/>
      <c r="AA237" s="105"/>
      <c r="AB237" s="105"/>
      <c r="AC237" s="105"/>
      <c r="AD237" s="105"/>
      <c r="AE237" s="105"/>
      <c r="AF237" s="105"/>
      <c r="AH237" s="8"/>
    </row>
    <row r="238" customFormat="false" ht="15.75" hidden="false" customHeight="true" outlineLevel="0" collapsed="false">
      <c r="A238" s="61" t="n">
        <v>45898</v>
      </c>
      <c r="B238" s="99" t="s">
        <v>281</v>
      </c>
      <c r="C238" s="100" t="s">
        <v>273</v>
      </c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83"/>
      <c r="P238" s="101" t="n">
        <v>12749</v>
      </c>
      <c r="Q238" s="106" t="s">
        <v>270</v>
      </c>
      <c r="R238" s="107" t="s">
        <v>280</v>
      </c>
      <c r="S238" s="105"/>
      <c r="T238" s="105"/>
      <c r="U238" s="105"/>
      <c r="V238" s="104" t="n">
        <v>12749</v>
      </c>
      <c r="W238" s="105"/>
      <c r="X238" s="105"/>
      <c r="Y238" s="105"/>
      <c r="Z238" s="105"/>
      <c r="AA238" s="105"/>
      <c r="AB238" s="105"/>
      <c r="AC238" s="105"/>
      <c r="AD238" s="105"/>
      <c r="AE238" s="105"/>
      <c r="AF238" s="105"/>
      <c r="AH238" s="8"/>
    </row>
    <row r="239" customFormat="false" ht="15.75" hidden="false" customHeight="true" outlineLevel="0" collapsed="false">
      <c r="A239" s="61" t="n">
        <v>46010</v>
      </c>
      <c r="B239" s="110" t="s">
        <v>282</v>
      </c>
      <c r="C239" s="100" t="s">
        <v>283</v>
      </c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83"/>
      <c r="P239" s="101" t="n">
        <v>6000</v>
      </c>
      <c r="Q239" s="106" t="s">
        <v>270</v>
      </c>
      <c r="R239" s="107" t="s">
        <v>284</v>
      </c>
      <c r="S239" s="105"/>
      <c r="T239" s="105"/>
      <c r="U239" s="105"/>
      <c r="V239" s="104" t="n">
        <v>6000</v>
      </c>
      <c r="W239" s="105"/>
      <c r="X239" s="105"/>
      <c r="Y239" s="105"/>
      <c r="Z239" s="105"/>
      <c r="AA239" s="105"/>
      <c r="AB239" s="105"/>
      <c r="AC239" s="105"/>
      <c r="AD239" s="105"/>
      <c r="AE239" s="105"/>
      <c r="AF239" s="105"/>
      <c r="AH239" s="8"/>
    </row>
    <row r="240" customFormat="false" ht="15.75" hidden="false" customHeight="true" outlineLevel="0" collapsed="false">
      <c r="A240" s="61" t="n">
        <v>46010</v>
      </c>
      <c r="B240" s="99" t="s">
        <v>285</v>
      </c>
      <c r="C240" s="100" t="s">
        <v>286</v>
      </c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83"/>
      <c r="P240" s="101" t="n">
        <v>8400</v>
      </c>
      <c r="Q240" s="102" t="s">
        <v>270</v>
      </c>
      <c r="R240" s="103" t="s">
        <v>287</v>
      </c>
      <c r="S240" s="105"/>
      <c r="T240" s="105"/>
      <c r="U240" s="105"/>
      <c r="V240" s="105" t="n">
        <v>8400</v>
      </c>
      <c r="W240" s="105"/>
      <c r="X240" s="105"/>
      <c r="Y240" s="105"/>
      <c r="Z240" s="105"/>
      <c r="AA240" s="104"/>
      <c r="AB240" s="104"/>
      <c r="AC240" s="104"/>
      <c r="AD240" s="105"/>
      <c r="AE240" s="105"/>
      <c r="AF240" s="105"/>
      <c r="AH240" s="8"/>
    </row>
    <row r="241" customFormat="false" ht="15.75" hidden="false" customHeight="true" outlineLevel="0" collapsed="false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S241" s="2"/>
      <c r="T241" s="2"/>
      <c r="U241" s="2"/>
      <c r="V241" s="2"/>
      <c r="W241" s="2"/>
      <c r="X241" s="2"/>
      <c r="Y241" s="2"/>
      <c r="Z241" s="90"/>
      <c r="AA241" s="2"/>
      <c r="AB241" s="2"/>
      <c r="AC241" s="2"/>
      <c r="AD241" s="2"/>
      <c r="AE241" s="2"/>
      <c r="AF241" s="2"/>
      <c r="AH241" s="8"/>
    </row>
    <row r="242" customFormat="false" ht="15.75" hidden="false" customHeight="true" outlineLevel="0" collapsed="false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S242" s="2"/>
      <c r="T242" s="2"/>
      <c r="U242" s="2"/>
      <c r="V242" s="2"/>
      <c r="W242" s="2"/>
      <c r="X242" s="2"/>
      <c r="Y242" s="2"/>
      <c r="Z242" s="90"/>
      <c r="AA242" s="2"/>
      <c r="AB242" s="2"/>
      <c r="AC242" s="2"/>
      <c r="AD242" s="2"/>
      <c r="AE242" s="2"/>
      <c r="AF242" s="2"/>
      <c r="AH242" s="8"/>
    </row>
    <row r="243" customFormat="false" ht="15.75" hidden="false" customHeight="true" outlineLevel="0" collapsed="false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S243" s="2"/>
      <c r="T243" s="2"/>
      <c r="U243" s="2"/>
      <c r="V243" s="2"/>
      <c r="W243" s="2"/>
      <c r="X243" s="2"/>
      <c r="Y243" s="2"/>
      <c r="Z243" s="90"/>
      <c r="AA243" s="2"/>
      <c r="AB243" s="2"/>
      <c r="AC243" s="2"/>
      <c r="AD243" s="2"/>
      <c r="AE243" s="2"/>
      <c r="AF243" s="2"/>
      <c r="AH243" s="8"/>
    </row>
    <row r="244" customFormat="false" ht="15.75" hidden="false" customHeight="true" outlineLevel="0" collapsed="false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S244" s="2"/>
      <c r="T244" s="2"/>
      <c r="U244" s="2"/>
      <c r="V244" s="2"/>
      <c r="W244" s="2"/>
      <c r="X244" s="2"/>
      <c r="Y244" s="2"/>
      <c r="Z244" s="90"/>
      <c r="AA244" s="2"/>
      <c r="AB244" s="2"/>
      <c r="AC244" s="2"/>
      <c r="AD244" s="2"/>
      <c r="AE244" s="2"/>
      <c r="AF244" s="2"/>
      <c r="AH244" s="8"/>
    </row>
    <row r="245" customFormat="false" ht="15.75" hidden="false" customHeight="true" outlineLevel="0" collapsed="false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S245" s="2"/>
      <c r="T245" s="2"/>
      <c r="U245" s="2"/>
      <c r="V245" s="2"/>
      <c r="W245" s="2"/>
      <c r="X245" s="2"/>
      <c r="Y245" s="2"/>
      <c r="Z245" s="90"/>
      <c r="AA245" s="2"/>
      <c r="AB245" s="2"/>
      <c r="AC245" s="2"/>
      <c r="AD245" s="2"/>
      <c r="AE245" s="2"/>
      <c r="AF245" s="2"/>
      <c r="AH245" s="8"/>
    </row>
    <row r="246" customFormat="false" ht="15" hidden="false" customHeight="true" outlineLevel="0" collapsed="false">
      <c r="A246" s="111" t="n">
        <v>2024</v>
      </c>
      <c r="B246" s="91" t="s">
        <v>261</v>
      </c>
      <c r="C246" s="92"/>
      <c r="D246" s="92"/>
      <c r="E246" s="92"/>
      <c r="F246" s="92"/>
      <c r="G246" s="92"/>
      <c r="H246" s="92"/>
      <c r="I246" s="92"/>
      <c r="J246" s="92"/>
      <c r="K246" s="93"/>
      <c r="L246" s="92"/>
      <c r="M246" s="92"/>
      <c r="N246" s="94" t="n">
        <v>2024</v>
      </c>
      <c r="O246" s="95" t="s">
        <v>262</v>
      </c>
      <c r="P246" s="96" t="n">
        <f aca="false">SUM(P247:P292)</f>
        <v>171112.67</v>
      </c>
      <c r="Q246" s="97" t="s">
        <v>263</v>
      </c>
      <c r="R246" s="98" t="s">
        <v>288</v>
      </c>
      <c r="S246" s="98" t="s">
        <v>7</v>
      </c>
      <c r="T246" s="98" t="s">
        <v>9</v>
      </c>
      <c r="U246" s="98"/>
      <c r="V246" s="98" t="s">
        <v>265</v>
      </c>
      <c r="W246" s="98" t="s">
        <v>266</v>
      </c>
      <c r="X246" s="98"/>
      <c r="Y246" s="98" t="s">
        <v>10</v>
      </c>
      <c r="Z246" s="98" t="s">
        <v>38</v>
      </c>
      <c r="AA246" s="98" t="s">
        <v>267</v>
      </c>
      <c r="AB246" s="98"/>
      <c r="AC246" s="98" t="s">
        <v>13</v>
      </c>
      <c r="AD246" s="98" t="s">
        <v>14</v>
      </c>
      <c r="AE246" s="98" t="s">
        <v>16</v>
      </c>
      <c r="AG246" s="8"/>
    </row>
    <row r="247" customFormat="false" ht="15" hidden="false" customHeight="true" outlineLevel="0" collapsed="false">
      <c r="A247" s="112" t="n">
        <v>45358</v>
      </c>
      <c r="B247" s="99" t="s">
        <v>289</v>
      </c>
      <c r="C247" s="100" t="s">
        <v>290</v>
      </c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83"/>
      <c r="P247" s="101" t="n">
        <v>600</v>
      </c>
      <c r="Q247" s="102" t="s">
        <v>291</v>
      </c>
      <c r="R247" s="103" t="s">
        <v>292</v>
      </c>
      <c r="S247" s="104" t="n">
        <v>600</v>
      </c>
      <c r="T247" s="105"/>
      <c r="U247" s="105"/>
      <c r="V247" s="105"/>
      <c r="W247" s="105"/>
      <c r="X247" s="105"/>
      <c r="Y247" s="105"/>
      <c r="Z247" s="105"/>
      <c r="AA247" s="105"/>
      <c r="AB247" s="105"/>
      <c r="AC247" s="105"/>
      <c r="AD247" s="105"/>
      <c r="AE247" s="105"/>
      <c r="AG247" s="8"/>
    </row>
    <row r="248" customFormat="false" ht="15" hidden="false" customHeight="true" outlineLevel="0" collapsed="false">
      <c r="A248" s="112" t="n">
        <v>45377</v>
      </c>
      <c r="B248" s="99" t="s">
        <v>293</v>
      </c>
      <c r="C248" s="100" t="s">
        <v>294</v>
      </c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  <c r="O248" s="83"/>
      <c r="P248" s="113" t="n">
        <v>2320</v>
      </c>
      <c r="Q248" s="114" t="s">
        <v>270</v>
      </c>
      <c r="R248" s="115" t="s">
        <v>295</v>
      </c>
      <c r="S248" s="105"/>
      <c r="T248" s="104" t="n">
        <v>2320</v>
      </c>
      <c r="U248" s="104"/>
      <c r="V248" s="105"/>
      <c r="W248" s="105"/>
      <c r="X248" s="105"/>
      <c r="Y248" s="105"/>
      <c r="Z248" s="105"/>
      <c r="AA248" s="105"/>
      <c r="AB248" s="105"/>
      <c r="AC248" s="105"/>
      <c r="AD248" s="105"/>
      <c r="AE248" s="105"/>
      <c r="AG248" s="8"/>
    </row>
    <row r="249" customFormat="false" ht="15" hidden="false" customHeight="true" outlineLevel="0" collapsed="false">
      <c r="A249" s="112" t="n">
        <v>45380</v>
      </c>
      <c r="B249" s="99" t="s">
        <v>296</v>
      </c>
      <c r="C249" s="100" t="s">
        <v>297</v>
      </c>
      <c r="D249" s="100"/>
      <c r="E249" s="100"/>
      <c r="F249" s="100"/>
      <c r="G249" s="100"/>
      <c r="H249" s="100"/>
      <c r="I249" s="100"/>
      <c r="J249" s="100"/>
      <c r="K249" s="100"/>
      <c r="L249" s="100"/>
      <c r="M249" s="100"/>
      <c r="N249" s="100"/>
      <c r="O249" s="83"/>
      <c r="P249" s="113" t="n">
        <v>3800</v>
      </c>
      <c r="Q249" s="114" t="s">
        <v>270</v>
      </c>
      <c r="R249" s="115" t="s">
        <v>295</v>
      </c>
      <c r="S249" s="105"/>
      <c r="T249" s="104" t="n">
        <v>3800</v>
      </c>
      <c r="U249" s="104"/>
      <c r="V249" s="105"/>
      <c r="W249" s="105"/>
      <c r="X249" s="105"/>
      <c r="Y249" s="105"/>
      <c r="Z249" s="105"/>
      <c r="AA249" s="105"/>
      <c r="AB249" s="105"/>
      <c r="AC249" s="105"/>
      <c r="AD249" s="105"/>
      <c r="AE249" s="105"/>
      <c r="AG249" s="8"/>
    </row>
    <row r="250" customFormat="false" ht="15" hidden="false" customHeight="true" outlineLevel="0" collapsed="false">
      <c r="A250" s="112" t="n">
        <v>45380</v>
      </c>
      <c r="B250" s="99" t="s">
        <v>298</v>
      </c>
      <c r="C250" s="100" t="s">
        <v>297</v>
      </c>
      <c r="D250" s="100"/>
      <c r="E250" s="100"/>
      <c r="F250" s="100"/>
      <c r="G250" s="100"/>
      <c r="H250" s="100"/>
      <c r="I250" s="100"/>
      <c r="J250" s="100"/>
      <c r="K250" s="100"/>
      <c r="L250" s="100"/>
      <c r="M250" s="100"/>
      <c r="N250" s="100"/>
      <c r="O250" s="83"/>
      <c r="P250" s="113" t="n">
        <v>1500</v>
      </c>
      <c r="Q250" s="114" t="s">
        <v>270</v>
      </c>
      <c r="R250" s="115" t="s">
        <v>295</v>
      </c>
      <c r="S250" s="105"/>
      <c r="T250" s="104" t="n">
        <v>1500</v>
      </c>
      <c r="U250" s="104"/>
      <c r="V250" s="105"/>
      <c r="W250" s="105"/>
      <c r="X250" s="105"/>
      <c r="Y250" s="105"/>
      <c r="Z250" s="105"/>
      <c r="AA250" s="105"/>
      <c r="AB250" s="105"/>
      <c r="AC250" s="105"/>
      <c r="AD250" s="105"/>
      <c r="AE250" s="105"/>
      <c r="AG250" s="8"/>
    </row>
    <row r="251" customFormat="false" ht="15" hidden="false" customHeight="true" outlineLevel="0" collapsed="false">
      <c r="A251" s="112" t="n">
        <v>45380</v>
      </c>
      <c r="B251" s="99" t="s">
        <v>299</v>
      </c>
      <c r="C251" s="100" t="s">
        <v>297</v>
      </c>
      <c r="D251" s="100"/>
      <c r="E251" s="100"/>
      <c r="F251" s="100"/>
      <c r="G251" s="100"/>
      <c r="H251" s="100"/>
      <c r="I251" s="100"/>
      <c r="J251" s="100"/>
      <c r="K251" s="100"/>
      <c r="L251" s="100"/>
      <c r="M251" s="100"/>
      <c r="N251" s="100"/>
      <c r="O251" s="83"/>
      <c r="P251" s="113" t="n">
        <v>9550</v>
      </c>
      <c r="Q251" s="114" t="s">
        <v>270</v>
      </c>
      <c r="R251" s="115" t="s">
        <v>295</v>
      </c>
      <c r="S251" s="105"/>
      <c r="T251" s="104" t="n">
        <v>9550</v>
      </c>
      <c r="U251" s="104"/>
      <c r="V251" s="105"/>
      <c r="W251" s="105"/>
      <c r="X251" s="105"/>
      <c r="Y251" s="105"/>
      <c r="Z251" s="105"/>
      <c r="AA251" s="105"/>
      <c r="AB251" s="105"/>
      <c r="AC251" s="105"/>
      <c r="AD251" s="105"/>
      <c r="AE251" s="105"/>
      <c r="AG251" s="8"/>
    </row>
    <row r="252" customFormat="false" ht="15" hidden="false" customHeight="true" outlineLevel="0" collapsed="false">
      <c r="A252" s="112" t="n">
        <v>45380</v>
      </c>
      <c r="B252" s="99" t="s">
        <v>300</v>
      </c>
      <c r="C252" s="100" t="s">
        <v>294</v>
      </c>
      <c r="D252" s="100"/>
      <c r="E252" s="100"/>
      <c r="F252" s="100"/>
      <c r="G252" s="100"/>
      <c r="H252" s="100"/>
      <c r="I252" s="100"/>
      <c r="J252" s="100"/>
      <c r="K252" s="100"/>
      <c r="L252" s="100"/>
      <c r="M252" s="100"/>
      <c r="N252" s="100"/>
      <c r="O252" s="83"/>
      <c r="P252" s="113" t="n">
        <v>3690</v>
      </c>
      <c r="Q252" s="114" t="s">
        <v>270</v>
      </c>
      <c r="R252" s="115" t="s">
        <v>295</v>
      </c>
      <c r="S252" s="105"/>
      <c r="T252" s="104" t="n">
        <v>3690</v>
      </c>
      <c r="U252" s="104"/>
      <c r="V252" s="105"/>
      <c r="W252" s="105"/>
      <c r="X252" s="105"/>
      <c r="Y252" s="105"/>
      <c r="Z252" s="105"/>
      <c r="AA252" s="105"/>
      <c r="AB252" s="105"/>
      <c r="AC252" s="105"/>
      <c r="AD252" s="105"/>
      <c r="AE252" s="105"/>
      <c r="AG252" s="8"/>
    </row>
    <row r="253" customFormat="false" ht="15" hidden="false" customHeight="true" outlineLevel="0" collapsed="false">
      <c r="A253" s="112" t="n">
        <v>45398</v>
      </c>
      <c r="B253" s="110" t="s">
        <v>301</v>
      </c>
      <c r="C253" s="100" t="s">
        <v>302</v>
      </c>
      <c r="D253" s="100"/>
      <c r="E253" s="100"/>
      <c r="F253" s="100"/>
      <c r="G253" s="100"/>
      <c r="H253" s="100"/>
      <c r="I253" s="100"/>
      <c r="J253" s="100"/>
      <c r="K253" s="100"/>
      <c r="L253" s="100"/>
      <c r="M253" s="100"/>
      <c r="N253" s="100"/>
      <c r="O253" s="83"/>
      <c r="P253" s="113" t="n">
        <v>3040</v>
      </c>
      <c r="Q253" s="114" t="s">
        <v>270</v>
      </c>
      <c r="R253" s="115" t="s">
        <v>295</v>
      </c>
      <c r="S253" s="105"/>
      <c r="T253" s="104" t="n">
        <v>3040</v>
      </c>
      <c r="U253" s="104"/>
      <c r="V253" s="105"/>
      <c r="W253" s="105"/>
      <c r="X253" s="105"/>
      <c r="Y253" s="105"/>
      <c r="Z253" s="105"/>
      <c r="AA253" s="105"/>
      <c r="AB253" s="105"/>
      <c r="AC253" s="105"/>
      <c r="AD253" s="105"/>
      <c r="AE253" s="105"/>
      <c r="AG253" s="8"/>
    </row>
    <row r="254" customFormat="false" ht="15" hidden="false" customHeight="true" outlineLevel="0" collapsed="false">
      <c r="A254" s="112" t="n">
        <v>45398</v>
      </c>
      <c r="B254" s="99" t="s">
        <v>303</v>
      </c>
      <c r="C254" s="100" t="s">
        <v>304</v>
      </c>
      <c r="D254" s="100"/>
      <c r="E254" s="100"/>
      <c r="F254" s="100"/>
      <c r="G254" s="100"/>
      <c r="H254" s="100"/>
      <c r="I254" s="100"/>
      <c r="J254" s="100"/>
      <c r="K254" s="100"/>
      <c r="L254" s="100"/>
      <c r="M254" s="100"/>
      <c r="N254" s="100"/>
      <c r="O254" s="83"/>
      <c r="P254" s="101" t="n">
        <v>1016</v>
      </c>
      <c r="Q254" s="102" t="s">
        <v>270</v>
      </c>
      <c r="R254" s="103" t="s">
        <v>305</v>
      </c>
      <c r="S254" s="105"/>
      <c r="T254" s="105"/>
      <c r="U254" s="105"/>
      <c r="V254" s="105"/>
      <c r="W254" s="105"/>
      <c r="X254" s="105"/>
      <c r="Y254" s="105"/>
      <c r="Z254" s="104" t="n">
        <v>1016</v>
      </c>
      <c r="AA254" s="104"/>
      <c r="AB254" s="104"/>
      <c r="AC254" s="105"/>
      <c r="AD254" s="105"/>
      <c r="AE254" s="105"/>
      <c r="AG254" s="8"/>
    </row>
    <row r="255" customFormat="false" ht="15" hidden="false" customHeight="true" outlineLevel="0" collapsed="false">
      <c r="A255" s="112" t="n">
        <v>45398</v>
      </c>
      <c r="B255" s="99" t="s">
        <v>306</v>
      </c>
      <c r="C255" s="100" t="s">
        <v>304</v>
      </c>
      <c r="D255" s="100"/>
      <c r="E255" s="100"/>
      <c r="F255" s="100"/>
      <c r="G255" s="100"/>
      <c r="H255" s="100"/>
      <c r="I255" s="100"/>
      <c r="J255" s="100"/>
      <c r="K255" s="100"/>
      <c r="L255" s="100"/>
      <c r="M255" s="100"/>
      <c r="N255" s="100"/>
      <c r="O255" s="83"/>
      <c r="P255" s="101" t="n">
        <v>560</v>
      </c>
      <c r="Q255" s="102" t="s">
        <v>270</v>
      </c>
      <c r="R255" s="103" t="s">
        <v>307</v>
      </c>
      <c r="S255" s="105"/>
      <c r="T255" s="105"/>
      <c r="U255" s="105"/>
      <c r="V255" s="105"/>
      <c r="W255" s="105"/>
      <c r="X255" s="105"/>
      <c r="Y255" s="105"/>
      <c r="Z255" s="104" t="n">
        <v>560</v>
      </c>
      <c r="AA255" s="104"/>
      <c r="AB255" s="104"/>
      <c r="AC255" s="105"/>
      <c r="AD255" s="105"/>
      <c r="AE255" s="105"/>
      <c r="AG255" s="8"/>
    </row>
    <row r="256" customFormat="false" ht="15" hidden="false" customHeight="true" outlineLevel="0" collapsed="false">
      <c r="A256" s="112" t="n">
        <v>45398</v>
      </c>
      <c r="B256" s="99" t="s">
        <v>308</v>
      </c>
      <c r="C256" s="100" t="s">
        <v>309</v>
      </c>
      <c r="D256" s="100"/>
      <c r="E256" s="100"/>
      <c r="F256" s="100"/>
      <c r="G256" s="100"/>
      <c r="H256" s="100"/>
      <c r="I256" s="100"/>
      <c r="J256" s="100"/>
      <c r="K256" s="100"/>
      <c r="L256" s="100"/>
      <c r="M256" s="100"/>
      <c r="N256" s="100"/>
      <c r="O256" s="83"/>
      <c r="P256" s="101" t="n">
        <v>4725</v>
      </c>
      <c r="Q256" s="102" t="s">
        <v>270</v>
      </c>
      <c r="R256" s="103" t="s">
        <v>307</v>
      </c>
      <c r="S256" s="105"/>
      <c r="T256" s="104" t="n">
        <v>4725</v>
      </c>
      <c r="U256" s="104"/>
      <c r="V256" s="105"/>
      <c r="W256" s="105"/>
      <c r="X256" s="105"/>
      <c r="Y256" s="105"/>
      <c r="Z256" s="105"/>
      <c r="AA256" s="105"/>
      <c r="AB256" s="105"/>
      <c r="AC256" s="105"/>
      <c r="AD256" s="105"/>
      <c r="AE256" s="105"/>
      <c r="AG256" s="8"/>
    </row>
    <row r="257" customFormat="false" ht="15" hidden="false" customHeight="true" outlineLevel="0" collapsed="false">
      <c r="A257" s="112" t="n">
        <v>45399</v>
      </c>
      <c r="B257" s="99" t="s">
        <v>310</v>
      </c>
      <c r="C257" s="100" t="s">
        <v>311</v>
      </c>
      <c r="D257" s="100"/>
      <c r="E257" s="100"/>
      <c r="F257" s="100"/>
      <c r="G257" s="100"/>
      <c r="H257" s="100"/>
      <c r="I257" s="100"/>
      <c r="J257" s="100"/>
      <c r="K257" s="100"/>
      <c r="L257" s="100"/>
      <c r="M257" s="100"/>
      <c r="N257" s="100"/>
      <c r="O257" s="83"/>
      <c r="P257" s="101" t="n">
        <v>530</v>
      </c>
      <c r="Q257" s="102" t="s">
        <v>312</v>
      </c>
      <c r="R257" s="103" t="s">
        <v>307</v>
      </c>
      <c r="S257" s="105"/>
      <c r="T257" s="104" t="n">
        <v>530</v>
      </c>
      <c r="U257" s="104"/>
      <c r="V257" s="105"/>
      <c r="W257" s="105"/>
      <c r="X257" s="105"/>
      <c r="Y257" s="105"/>
      <c r="Z257" s="105"/>
      <c r="AA257" s="105"/>
      <c r="AB257" s="105"/>
      <c r="AC257" s="105"/>
      <c r="AD257" s="105"/>
      <c r="AE257" s="105"/>
      <c r="AG257" s="8"/>
    </row>
    <row r="258" customFormat="false" ht="15" hidden="false" customHeight="true" outlineLevel="0" collapsed="false">
      <c r="A258" s="112" t="n">
        <v>45393</v>
      </c>
      <c r="B258" s="99" t="s">
        <v>313</v>
      </c>
      <c r="C258" s="100" t="s">
        <v>314</v>
      </c>
      <c r="D258" s="100"/>
      <c r="E258" s="100"/>
      <c r="F258" s="100"/>
      <c r="G258" s="100"/>
      <c r="H258" s="100"/>
      <c r="I258" s="100"/>
      <c r="J258" s="100"/>
      <c r="K258" s="100"/>
      <c r="L258" s="100"/>
      <c r="M258" s="100"/>
      <c r="N258" s="100"/>
      <c r="O258" s="83"/>
      <c r="P258" s="101" t="n">
        <v>2040</v>
      </c>
      <c r="Q258" s="102" t="s">
        <v>312</v>
      </c>
      <c r="R258" s="103" t="s">
        <v>292</v>
      </c>
      <c r="S258" s="105"/>
      <c r="T258" s="104" t="n">
        <v>2040</v>
      </c>
      <c r="U258" s="104"/>
      <c r="V258" s="105"/>
      <c r="W258" s="105"/>
      <c r="X258" s="105"/>
      <c r="Y258" s="105"/>
      <c r="Z258" s="105"/>
      <c r="AA258" s="105"/>
      <c r="AB258" s="105"/>
      <c r="AC258" s="105"/>
      <c r="AD258" s="105"/>
      <c r="AE258" s="105"/>
      <c r="AG258" s="8"/>
    </row>
    <row r="259" customFormat="false" ht="15" hidden="false" customHeight="true" outlineLevel="0" collapsed="false">
      <c r="A259" s="112" t="n">
        <v>45421</v>
      </c>
      <c r="B259" s="99" t="s">
        <v>315</v>
      </c>
      <c r="C259" s="100" t="s">
        <v>297</v>
      </c>
      <c r="D259" s="100"/>
      <c r="E259" s="100"/>
      <c r="F259" s="100"/>
      <c r="G259" s="100"/>
      <c r="H259" s="100"/>
      <c r="I259" s="100"/>
      <c r="J259" s="100"/>
      <c r="K259" s="100"/>
      <c r="L259" s="100"/>
      <c r="M259" s="100"/>
      <c r="N259" s="100"/>
      <c r="O259" s="83"/>
      <c r="P259" s="101" t="n">
        <v>1400</v>
      </c>
      <c r="Q259" s="102" t="s">
        <v>270</v>
      </c>
      <c r="R259" s="103" t="s">
        <v>316</v>
      </c>
      <c r="S259" s="105"/>
      <c r="T259" s="105"/>
      <c r="U259" s="105"/>
      <c r="V259" s="105"/>
      <c r="W259" s="105"/>
      <c r="X259" s="105"/>
      <c r="Y259" s="105"/>
      <c r="Z259" s="104" t="n">
        <v>1400</v>
      </c>
      <c r="AA259" s="104"/>
      <c r="AB259" s="104"/>
      <c r="AC259" s="105"/>
      <c r="AD259" s="105"/>
      <c r="AE259" s="105"/>
      <c r="AG259" s="8"/>
    </row>
    <row r="260" customFormat="false" ht="15" hidden="false" customHeight="true" outlineLevel="0" collapsed="false">
      <c r="A260" s="112" t="n">
        <v>45422</v>
      </c>
      <c r="B260" s="99" t="s">
        <v>317</v>
      </c>
      <c r="C260" s="100" t="s">
        <v>318</v>
      </c>
      <c r="D260" s="100"/>
      <c r="E260" s="100"/>
      <c r="F260" s="100"/>
      <c r="G260" s="100"/>
      <c r="H260" s="100"/>
      <c r="I260" s="100"/>
      <c r="J260" s="100"/>
      <c r="K260" s="100"/>
      <c r="L260" s="100"/>
      <c r="M260" s="100"/>
      <c r="N260" s="100"/>
      <c r="O260" s="83"/>
      <c r="P260" s="113" t="n">
        <v>250</v>
      </c>
      <c r="Q260" s="114" t="s">
        <v>270</v>
      </c>
      <c r="R260" s="115" t="s">
        <v>295</v>
      </c>
      <c r="S260" s="105"/>
      <c r="T260" s="105"/>
      <c r="U260" s="105"/>
      <c r="V260" s="105"/>
      <c r="W260" s="105"/>
      <c r="X260" s="105"/>
      <c r="Y260" s="105"/>
      <c r="Z260" s="105"/>
      <c r="AA260" s="105"/>
      <c r="AB260" s="105"/>
      <c r="AC260" s="104" t="n">
        <v>250</v>
      </c>
      <c r="AD260" s="105"/>
      <c r="AE260" s="105"/>
      <c r="AG260" s="8"/>
    </row>
    <row r="261" customFormat="false" ht="15" hidden="false" customHeight="true" outlineLevel="0" collapsed="false">
      <c r="A261" s="112" t="n">
        <v>45425</v>
      </c>
      <c r="B261" s="99" t="s">
        <v>319</v>
      </c>
      <c r="C261" s="100" t="s">
        <v>320</v>
      </c>
      <c r="D261" s="100"/>
      <c r="E261" s="100"/>
      <c r="F261" s="100"/>
      <c r="G261" s="100"/>
      <c r="H261" s="100"/>
      <c r="I261" s="100"/>
      <c r="J261" s="100"/>
      <c r="K261" s="100"/>
      <c r="L261" s="100"/>
      <c r="M261" s="100"/>
      <c r="N261" s="100"/>
      <c r="O261" s="83"/>
      <c r="P261" s="101" t="n">
        <v>1800</v>
      </c>
      <c r="Q261" s="102" t="s">
        <v>291</v>
      </c>
      <c r="R261" s="103" t="s">
        <v>321</v>
      </c>
      <c r="S261" s="105"/>
      <c r="T261" s="105"/>
      <c r="U261" s="105"/>
      <c r="V261" s="105"/>
      <c r="W261" s="105"/>
      <c r="X261" s="105"/>
      <c r="Y261" s="105"/>
      <c r="Z261" s="105"/>
      <c r="AA261" s="105"/>
      <c r="AB261" s="105"/>
      <c r="AC261" s="104" t="n">
        <v>1800</v>
      </c>
      <c r="AD261" s="105"/>
      <c r="AE261" s="105"/>
      <c r="AG261" s="8"/>
    </row>
    <row r="262" customFormat="false" ht="15" hidden="false" customHeight="true" outlineLevel="0" collapsed="false">
      <c r="A262" s="112" t="n">
        <v>45426</v>
      </c>
      <c r="B262" s="99" t="s">
        <v>322</v>
      </c>
      <c r="C262" s="100" t="s">
        <v>323</v>
      </c>
      <c r="D262" s="100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  <c r="O262" s="83"/>
      <c r="P262" s="101" t="n">
        <v>1700</v>
      </c>
      <c r="Q262" s="102" t="s">
        <v>291</v>
      </c>
      <c r="R262" s="103" t="s">
        <v>307</v>
      </c>
      <c r="S262" s="105"/>
      <c r="T262" s="104" t="n">
        <v>1700</v>
      </c>
      <c r="U262" s="104"/>
      <c r="V262" s="105"/>
      <c r="W262" s="105"/>
      <c r="X262" s="105"/>
      <c r="Y262" s="105"/>
      <c r="Z262" s="105"/>
      <c r="AA262" s="105"/>
      <c r="AB262" s="105"/>
      <c r="AC262" s="105"/>
      <c r="AD262" s="105"/>
      <c r="AE262" s="105"/>
      <c r="AG262" s="8"/>
    </row>
    <row r="263" customFormat="false" ht="15" hidden="false" customHeight="true" outlineLevel="0" collapsed="false">
      <c r="A263" s="112" t="n">
        <v>45436</v>
      </c>
      <c r="B263" s="99" t="s">
        <v>324</v>
      </c>
      <c r="C263" s="100" t="s">
        <v>325</v>
      </c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83"/>
      <c r="P263" s="101" t="n">
        <v>1440</v>
      </c>
      <c r="Q263" s="102" t="s">
        <v>270</v>
      </c>
      <c r="R263" s="103" t="s">
        <v>292</v>
      </c>
      <c r="S263" s="105"/>
      <c r="T263" s="105"/>
      <c r="U263" s="105"/>
      <c r="V263" s="105"/>
      <c r="W263" s="105"/>
      <c r="X263" s="105"/>
      <c r="Y263" s="105"/>
      <c r="Z263" s="104" t="n">
        <v>1440</v>
      </c>
      <c r="AA263" s="104"/>
      <c r="AB263" s="104"/>
      <c r="AC263" s="105"/>
      <c r="AD263" s="105"/>
      <c r="AE263" s="105"/>
      <c r="AG263" s="8"/>
    </row>
    <row r="264" customFormat="false" ht="15" hidden="false" customHeight="true" outlineLevel="0" collapsed="false">
      <c r="A264" s="112" t="n">
        <v>45456</v>
      </c>
      <c r="B264" s="99" t="s">
        <v>326</v>
      </c>
      <c r="C264" s="100" t="s">
        <v>327</v>
      </c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83"/>
      <c r="P264" s="101" t="n">
        <v>102</v>
      </c>
      <c r="Q264" s="102" t="s">
        <v>312</v>
      </c>
      <c r="R264" s="103" t="s">
        <v>321</v>
      </c>
      <c r="S264" s="105"/>
      <c r="T264" s="105"/>
      <c r="U264" s="105"/>
      <c r="V264" s="105"/>
      <c r="W264" s="104" t="n">
        <v>102</v>
      </c>
      <c r="X264" s="104"/>
      <c r="Y264" s="105"/>
      <c r="Z264" s="105"/>
      <c r="AA264" s="105"/>
      <c r="AB264" s="105"/>
      <c r="AC264" s="105"/>
      <c r="AD264" s="105"/>
      <c r="AE264" s="105"/>
      <c r="AG264" s="8"/>
    </row>
    <row r="265" customFormat="false" ht="15" hidden="false" customHeight="true" outlineLevel="0" collapsed="false">
      <c r="A265" s="112" t="n">
        <v>45461</v>
      </c>
      <c r="B265" s="99" t="s">
        <v>328</v>
      </c>
      <c r="C265" s="100" t="s">
        <v>329</v>
      </c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83"/>
      <c r="P265" s="101" t="n">
        <v>280</v>
      </c>
      <c r="Q265" s="102" t="s">
        <v>312</v>
      </c>
      <c r="R265" s="103" t="s">
        <v>321</v>
      </c>
      <c r="S265" s="105"/>
      <c r="T265" s="105"/>
      <c r="U265" s="105"/>
      <c r="V265" s="105"/>
      <c r="W265" s="105"/>
      <c r="X265" s="105"/>
      <c r="Y265" s="105"/>
      <c r="Z265" s="104" t="n">
        <v>280</v>
      </c>
      <c r="AA265" s="104"/>
      <c r="AB265" s="104"/>
      <c r="AC265" s="105"/>
      <c r="AD265" s="105"/>
      <c r="AE265" s="105"/>
      <c r="AG265" s="8"/>
    </row>
    <row r="266" customFormat="false" ht="15" hidden="false" customHeight="true" outlineLevel="0" collapsed="false">
      <c r="A266" s="112" t="n">
        <v>45468</v>
      </c>
      <c r="B266" s="99" t="s">
        <v>330</v>
      </c>
      <c r="C266" s="100" t="s">
        <v>331</v>
      </c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83"/>
      <c r="P266" s="101" t="n">
        <v>4200</v>
      </c>
      <c r="Q266" s="102" t="s">
        <v>270</v>
      </c>
      <c r="R266" s="103" t="s">
        <v>316</v>
      </c>
      <c r="S266" s="105"/>
      <c r="T266" s="105"/>
      <c r="U266" s="105"/>
      <c r="V266" s="105"/>
      <c r="W266" s="105"/>
      <c r="X266" s="105"/>
      <c r="Y266" s="105"/>
      <c r="Z266" s="104" t="n">
        <v>4200</v>
      </c>
      <c r="AA266" s="104"/>
      <c r="AB266" s="104"/>
      <c r="AC266" s="105"/>
      <c r="AD266" s="105"/>
      <c r="AE266" s="105"/>
      <c r="AG266" s="8"/>
    </row>
    <row r="267" customFormat="false" ht="15" hidden="false" customHeight="true" outlineLevel="0" collapsed="false">
      <c r="A267" s="112" t="n">
        <v>45468</v>
      </c>
      <c r="B267" s="99" t="s">
        <v>332</v>
      </c>
      <c r="C267" s="100" t="s">
        <v>333</v>
      </c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83"/>
      <c r="P267" s="101" t="n">
        <v>5650</v>
      </c>
      <c r="Q267" s="102" t="s">
        <v>312</v>
      </c>
      <c r="R267" s="103" t="s">
        <v>316</v>
      </c>
      <c r="S267" s="105"/>
      <c r="T267" s="104" t="n">
        <v>3650</v>
      </c>
      <c r="U267" s="104"/>
      <c r="V267" s="105"/>
      <c r="W267" s="105"/>
      <c r="X267" s="105"/>
      <c r="Y267" s="105"/>
      <c r="Z267" s="104" t="n">
        <v>2000</v>
      </c>
      <c r="AA267" s="104"/>
      <c r="AB267" s="104"/>
      <c r="AC267" s="105"/>
      <c r="AD267" s="105"/>
      <c r="AE267" s="105"/>
      <c r="AG267" s="8"/>
    </row>
    <row r="268" customFormat="false" ht="15" hidden="false" customHeight="true" outlineLevel="0" collapsed="false">
      <c r="A268" s="112" t="n">
        <v>45496</v>
      </c>
      <c r="B268" s="99" t="s">
        <v>334</v>
      </c>
      <c r="C268" s="100" t="s">
        <v>304</v>
      </c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83"/>
      <c r="P268" s="101" t="n">
        <v>3000</v>
      </c>
      <c r="Q268" s="102" t="s">
        <v>270</v>
      </c>
      <c r="R268" s="103" t="s">
        <v>307</v>
      </c>
      <c r="S268" s="105"/>
      <c r="T268" s="104"/>
      <c r="U268" s="104"/>
      <c r="V268" s="105"/>
      <c r="W268" s="105"/>
      <c r="X268" s="105"/>
      <c r="Y268" s="105"/>
      <c r="Z268" s="104" t="n">
        <v>3000</v>
      </c>
      <c r="AA268" s="104"/>
      <c r="AB268" s="104"/>
      <c r="AC268" s="105"/>
      <c r="AD268" s="105"/>
      <c r="AE268" s="105"/>
      <c r="AG268" s="8"/>
    </row>
    <row r="269" customFormat="false" ht="15" hidden="false" customHeight="true" outlineLevel="0" collapsed="false">
      <c r="A269" s="112" t="n">
        <v>45496</v>
      </c>
      <c r="B269" s="99" t="s">
        <v>335</v>
      </c>
      <c r="C269" s="100" t="s">
        <v>336</v>
      </c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83"/>
      <c r="P269" s="101" t="n">
        <v>6160</v>
      </c>
      <c r="Q269" s="102" t="s">
        <v>270</v>
      </c>
      <c r="R269" s="103" t="s">
        <v>307</v>
      </c>
      <c r="S269" s="105"/>
      <c r="T269" s="104" t="n">
        <v>6160</v>
      </c>
      <c r="U269" s="104"/>
      <c r="V269" s="105"/>
      <c r="W269" s="105"/>
      <c r="X269" s="105"/>
      <c r="Y269" s="105"/>
      <c r="Z269" s="104"/>
      <c r="AA269" s="104"/>
      <c r="AB269" s="104"/>
      <c r="AC269" s="105"/>
      <c r="AD269" s="105"/>
      <c r="AE269" s="105"/>
      <c r="AG269" s="8"/>
    </row>
    <row r="270" customFormat="false" ht="15" hidden="false" customHeight="true" outlineLevel="0" collapsed="false">
      <c r="A270" s="112" t="n">
        <v>45496</v>
      </c>
      <c r="B270" s="99" t="s">
        <v>337</v>
      </c>
      <c r="C270" s="100" t="s">
        <v>336</v>
      </c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83"/>
      <c r="P270" s="101" t="n">
        <v>9680</v>
      </c>
      <c r="Q270" s="102" t="s">
        <v>270</v>
      </c>
      <c r="R270" s="102" t="s">
        <v>321</v>
      </c>
      <c r="S270" s="105"/>
      <c r="T270" s="105"/>
      <c r="U270" s="105"/>
      <c r="V270" s="105"/>
      <c r="W270" s="104" t="n">
        <v>3000</v>
      </c>
      <c r="X270" s="104"/>
      <c r="Y270" s="104"/>
      <c r="Z270" s="104" t="n">
        <v>1200</v>
      </c>
      <c r="AA270" s="104"/>
      <c r="AB270" s="104"/>
      <c r="AC270" s="104" t="n">
        <v>5480</v>
      </c>
      <c r="AD270" s="105"/>
      <c r="AE270" s="105"/>
      <c r="AG270" s="8"/>
    </row>
    <row r="271" customFormat="false" ht="15" hidden="false" customHeight="true" outlineLevel="0" collapsed="false">
      <c r="A271" s="116" t="n">
        <v>45504</v>
      </c>
      <c r="B271" s="99" t="s">
        <v>338</v>
      </c>
      <c r="C271" s="100" t="s">
        <v>304</v>
      </c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83"/>
      <c r="P271" s="101" t="n">
        <v>9000</v>
      </c>
      <c r="Q271" s="102" t="s">
        <v>270</v>
      </c>
      <c r="R271" s="102" t="s">
        <v>321</v>
      </c>
      <c r="S271" s="105"/>
      <c r="T271" s="104" t="n">
        <v>3000</v>
      </c>
      <c r="U271" s="104"/>
      <c r="V271" s="104"/>
      <c r="W271" s="104"/>
      <c r="X271" s="104"/>
      <c r="Y271" s="104"/>
      <c r="Z271" s="104" t="n">
        <v>3000</v>
      </c>
      <c r="AA271" s="104"/>
      <c r="AB271" s="104"/>
      <c r="AC271" s="104" t="n">
        <v>3000</v>
      </c>
      <c r="AD271" s="105"/>
      <c r="AE271" s="105"/>
      <c r="AG271" s="8"/>
    </row>
    <row r="272" customFormat="false" ht="15" hidden="false" customHeight="true" outlineLevel="0" collapsed="false">
      <c r="A272" s="116" t="n">
        <v>45520</v>
      </c>
      <c r="B272" s="99" t="s">
        <v>339</v>
      </c>
      <c r="C272" s="100" t="s">
        <v>340</v>
      </c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83"/>
      <c r="P272" s="101" t="n">
        <v>5100</v>
      </c>
      <c r="Q272" s="102" t="s">
        <v>270</v>
      </c>
      <c r="R272" s="102" t="s">
        <v>341</v>
      </c>
      <c r="S272" s="105"/>
      <c r="T272" s="104" t="n">
        <v>5100</v>
      </c>
      <c r="U272" s="104"/>
      <c r="V272" s="104"/>
      <c r="W272" s="104"/>
      <c r="X272" s="104"/>
      <c r="Y272" s="104"/>
      <c r="Z272" s="104"/>
      <c r="AA272" s="104"/>
      <c r="AB272" s="104"/>
      <c r="AC272" s="104"/>
      <c r="AD272" s="105"/>
      <c r="AE272" s="105"/>
      <c r="AG272" s="8"/>
    </row>
    <row r="273" customFormat="false" ht="15" hidden="false" customHeight="true" outlineLevel="0" collapsed="false">
      <c r="A273" s="116" t="n">
        <v>45524</v>
      </c>
      <c r="B273" s="99" t="s">
        <v>342</v>
      </c>
      <c r="C273" s="100" t="s">
        <v>336</v>
      </c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N273" s="100"/>
      <c r="O273" s="83"/>
      <c r="P273" s="101" t="n">
        <v>11000</v>
      </c>
      <c r="Q273" s="102" t="s">
        <v>270</v>
      </c>
      <c r="R273" s="102" t="s">
        <v>341</v>
      </c>
      <c r="S273" s="105"/>
      <c r="T273" s="104" t="n">
        <v>11000</v>
      </c>
      <c r="U273" s="104"/>
      <c r="V273" s="104"/>
      <c r="W273" s="104"/>
      <c r="X273" s="104"/>
      <c r="Y273" s="104"/>
      <c r="Z273" s="104"/>
      <c r="AA273" s="104"/>
      <c r="AB273" s="104"/>
      <c r="AC273" s="104"/>
      <c r="AD273" s="105"/>
      <c r="AE273" s="105"/>
      <c r="AG273" s="8"/>
    </row>
    <row r="274" customFormat="false" ht="15" hidden="false" customHeight="true" outlineLevel="0" collapsed="false">
      <c r="A274" s="116" t="n">
        <v>45524</v>
      </c>
      <c r="B274" s="99" t="s">
        <v>343</v>
      </c>
      <c r="C274" s="100" t="s">
        <v>336</v>
      </c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83"/>
      <c r="P274" s="101" t="n">
        <v>7800</v>
      </c>
      <c r="Q274" s="102" t="s">
        <v>270</v>
      </c>
      <c r="R274" s="102" t="s">
        <v>341</v>
      </c>
      <c r="S274" s="105"/>
      <c r="T274" s="104" t="n">
        <v>7800</v>
      </c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5"/>
      <c r="AE274" s="105"/>
      <c r="AG274" s="8"/>
    </row>
    <row r="275" customFormat="false" ht="15" hidden="false" customHeight="true" outlineLevel="0" collapsed="false">
      <c r="A275" s="116" t="n">
        <v>45520</v>
      </c>
      <c r="B275" s="99" t="s">
        <v>344</v>
      </c>
      <c r="C275" s="100" t="s">
        <v>345</v>
      </c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83"/>
      <c r="P275" s="101" t="n">
        <v>600</v>
      </c>
      <c r="Q275" s="102" t="s">
        <v>346</v>
      </c>
      <c r="R275" s="102" t="s">
        <v>341</v>
      </c>
      <c r="S275" s="105" t="n">
        <v>600</v>
      </c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 t="n">
        <v>15300</v>
      </c>
      <c r="AD275" s="105"/>
      <c r="AE275" s="105"/>
      <c r="AG275" s="8"/>
    </row>
    <row r="276" customFormat="false" ht="15" hidden="false" customHeight="true" outlineLevel="0" collapsed="false">
      <c r="A276" s="116" t="n">
        <v>45534</v>
      </c>
      <c r="B276" s="99" t="s">
        <v>347</v>
      </c>
      <c r="C276" s="100" t="s">
        <v>336</v>
      </c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83"/>
      <c r="P276" s="101" t="n">
        <v>15300</v>
      </c>
      <c r="Q276" s="102" t="s">
        <v>270</v>
      </c>
      <c r="R276" s="102" t="s">
        <v>341</v>
      </c>
      <c r="S276" s="105"/>
      <c r="T276" s="104"/>
      <c r="U276" s="104"/>
      <c r="V276" s="104"/>
      <c r="W276" s="104"/>
      <c r="X276" s="104"/>
      <c r="Y276" s="104"/>
      <c r="Z276" s="104"/>
      <c r="AA276" s="104"/>
      <c r="AB276" s="104"/>
      <c r="AC276" s="104"/>
      <c r="AD276" s="105"/>
      <c r="AE276" s="105"/>
      <c r="AG276" s="8"/>
    </row>
    <row r="277" customFormat="false" ht="15" hidden="false" customHeight="true" outlineLevel="0" collapsed="false">
      <c r="A277" s="116" t="n">
        <v>45534</v>
      </c>
      <c r="B277" s="99" t="s">
        <v>348</v>
      </c>
      <c r="C277" s="100" t="s">
        <v>304</v>
      </c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83"/>
      <c r="P277" s="101" t="n">
        <v>1000</v>
      </c>
      <c r="Q277" s="102" t="s">
        <v>346</v>
      </c>
      <c r="R277" s="102" t="s">
        <v>321</v>
      </c>
      <c r="S277" s="105"/>
      <c r="T277" s="104"/>
      <c r="U277" s="104"/>
      <c r="V277" s="104"/>
      <c r="W277" s="104"/>
      <c r="X277" s="104"/>
      <c r="Y277" s="104"/>
      <c r="Z277" s="104"/>
      <c r="AA277" s="104"/>
      <c r="AB277" s="104"/>
      <c r="AC277" s="104" t="n">
        <v>1000</v>
      </c>
      <c r="AD277" s="105"/>
      <c r="AE277" s="105"/>
      <c r="AG277" s="8"/>
    </row>
    <row r="278" customFormat="false" ht="15" hidden="false" customHeight="true" outlineLevel="0" collapsed="false">
      <c r="A278" s="116" t="n">
        <v>45590</v>
      </c>
      <c r="B278" s="99" t="s">
        <v>349</v>
      </c>
      <c r="C278" s="100" t="s">
        <v>350</v>
      </c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83"/>
      <c r="P278" s="101" t="n">
        <v>2603</v>
      </c>
      <c r="Q278" s="102" t="s">
        <v>270</v>
      </c>
      <c r="R278" s="102" t="s">
        <v>351</v>
      </c>
      <c r="S278" s="105"/>
      <c r="T278" s="104" t="n">
        <v>2603</v>
      </c>
      <c r="U278" s="104"/>
      <c r="V278" s="104"/>
      <c r="W278" s="104"/>
      <c r="X278" s="104"/>
      <c r="Y278" s="104"/>
      <c r="Z278" s="104"/>
      <c r="AA278" s="104"/>
      <c r="AB278" s="104"/>
      <c r="AC278" s="104"/>
      <c r="AD278" s="105"/>
      <c r="AE278" s="105"/>
      <c r="AG278" s="8"/>
    </row>
    <row r="279" customFormat="false" ht="15" hidden="false" customHeight="true" outlineLevel="0" collapsed="false">
      <c r="A279" s="116" t="n">
        <v>45593</v>
      </c>
      <c r="B279" s="99" t="s">
        <v>352</v>
      </c>
      <c r="C279" s="100" t="s">
        <v>353</v>
      </c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83"/>
      <c r="P279" s="101" t="n">
        <v>3650</v>
      </c>
      <c r="Q279" s="102" t="s">
        <v>270</v>
      </c>
      <c r="R279" s="102" t="s">
        <v>351</v>
      </c>
      <c r="S279" s="105"/>
      <c r="T279" s="104"/>
      <c r="U279" s="104"/>
      <c r="V279" s="104"/>
      <c r="W279" s="104"/>
      <c r="X279" s="104"/>
      <c r="Y279" s="104"/>
      <c r="Z279" s="104"/>
      <c r="AA279" s="104"/>
      <c r="AB279" s="104"/>
      <c r="AC279" s="104" t="n">
        <v>3650</v>
      </c>
      <c r="AD279" s="105"/>
      <c r="AE279" s="105"/>
      <c r="AG279" s="8"/>
    </row>
    <row r="280" customFormat="false" ht="15" hidden="false" customHeight="true" outlineLevel="0" collapsed="false">
      <c r="A280" s="116" t="n">
        <v>45594</v>
      </c>
      <c r="B280" s="99" t="s">
        <v>289</v>
      </c>
      <c r="C280" s="100" t="s">
        <v>354</v>
      </c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83"/>
      <c r="P280" s="101" t="n">
        <v>3000</v>
      </c>
      <c r="Q280" s="102" t="s">
        <v>346</v>
      </c>
      <c r="R280" s="102" t="s">
        <v>321</v>
      </c>
      <c r="S280" s="105"/>
      <c r="T280" s="104"/>
      <c r="U280" s="104"/>
      <c r="V280" s="104"/>
      <c r="W280" s="104"/>
      <c r="X280" s="104"/>
      <c r="Y280" s="104" t="n">
        <v>3000</v>
      </c>
      <c r="Z280" s="104"/>
      <c r="AA280" s="104"/>
      <c r="AB280" s="104"/>
      <c r="AC280" s="104"/>
      <c r="AD280" s="105"/>
      <c r="AE280" s="105"/>
      <c r="AG280" s="8"/>
    </row>
    <row r="281" customFormat="false" ht="15" hidden="false" customHeight="true" outlineLevel="0" collapsed="false">
      <c r="A281" s="116" t="n">
        <v>45595</v>
      </c>
      <c r="B281" s="99" t="s">
        <v>355</v>
      </c>
      <c r="C281" s="100" t="s">
        <v>356</v>
      </c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  <c r="O281" s="83"/>
      <c r="P281" s="101" t="n">
        <v>2500</v>
      </c>
      <c r="Q281" s="102" t="s">
        <v>270</v>
      </c>
      <c r="R281" s="102" t="s">
        <v>351</v>
      </c>
      <c r="S281" s="105"/>
      <c r="T281" s="104"/>
      <c r="U281" s="104"/>
      <c r="V281" s="104"/>
      <c r="W281" s="104"/>
      <c r="X281" s="104"/>
      <c r="Y281" s="104"/>
      <c r="Z281" s="104"/>
      <c r="AA281" s="104"/>
      <c r="AB281" s="104"/>
      <c r="AC281" s="104" t="n">
        <v>2500</v>
      </c>
      <c r="AD281" s="105"/>
      <c r="AE281" s="105"/>
      <c r="AG281" s="8"/>
    </row>
    <row r="282" customFormat="false" ht="15" hidden="false" customHeight="true" outlineLevel="0" collapsed="false">
      <c r="A282" s="116" t="n">
        <v>45607</v>
      </c>
      <c r="B282" s="99" t="s">
        <v>357</v>
      </c>
      <c r="C282" s="100" t="s">
        <v>358</v>
      </c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83"/>
      <c r="P282" s="101" t="n">
        <v>1566.67</v>
      </c>
      <c r="Q282" s="102" t="s">
        <v>270</v>
      </c>
      <c r="R282" s="102" t="s">
        <v>359</v>
      </c>
      <c r="S282" s="105"/>
      <c r="T282" s="104"/>
      <c r="U282" s="104"/>
      <c r="V282" s="104"/>
      <c r="W282" s="104"/>
      <c r="X282" s="104"/>
      <c r="Y282" s="104"/>
      <c r="Z282" s="104"/>
      <c r="AA282" s="104"/>
      <c r="AB282" s="104"/>
      <c r="AC282" s="104" t="n">
        <v>1566.67</v>
      </c>
      <c r="AD282" s="105"/>
      <c r="AE282" s="105"/>
      <c r="AG282" s="8"/>
    </row>
    <row r="283" customFormat="false" ht="15" hidden="false" customHeight="true" outlineLevel="0" collapsed="false">
      <c r="A283" s="116" t="n">
        <v>45618</v>
      </c>
      <c r="B283" s="99" t="s">
        <v>360</v>
      </c>
      <c r="C283" s="100" t="s">
        <v>361</v>
      </c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83"/>
      <c r="P283" s="101" t="n">
        <v>3110</v>
      </c>
      <c r="Q283" s="102" t="s">
        <v>270</v>
      </c>
      <c r="R283" s="102" t="s">
        <v>351</v>
      </c>
      <c r="S283" s="105"/>
      <c r="T283" s="104"/>
      <c r="U283" s="104"/>
      <c r="V283" s="104"/>
      <c r="W283" s="104" t="n">
        <v>2450</v>
      </c>
      <c r="X283" s="104"/>
      <c r="Y283" s="104"/>
      <c r="Z283" s="104"/>
      <c r="AA283" s="104"/>
      <c r="AB283" s="104"/>
      <c r="AC283" s="104" t="n">
        <v>660</v>
      </c>
      <c r="AD283" s="105"/>
      <c r="AE283" s="105"/>
      <c r="AG283" s="8"/>
    </row>
    <row r="284" customFormat="false" ht="15" hidden="false" customHeight="true" outlineLevel="0" collapsed="false">
      <c r="A284" s="116" t="n">
        <v>45615</v>
      </c>
      <c r="B284" s="99" t="s">
        <v>362</v>
      </c>
      <c r="C284" s="100" t="s">
        <v>363</v>
      </c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  <c r="O284" s="83"/>
      <c r="P284" s="101" t="n">
        <v>7200</v>
      </c>
      <c r="Q284" s="102" t="s">
        <v>270</v>
      </c>
      <c r="R284" s="102" t="s">
        <v>364</v>
      </c>
      <c r="S284" s="105"/>
      <c r="T284" s="104"/>
      <c r="U284" s="104"/>
      <c r="V284" s="104"/>
      <c r="W284" s="104"/>
      <c r="X284" s="104"/>
      <c r="Y284" s="104"/>
      <c r="Z284" s="104"/>
      <c r="AA284" s="104" t="n">
        <v>7200</v>
      </c>
      <c r="AB284" s="104"/>
      <c r="AC284" s="104"/>
      <c r="AD284" s="105"/>
      <c r="AE284" s="105"/>
      <c r="AG284" s="8"/>
    </row>
    <row r="285" customFormat="false" ht="15" hidden="false" customHeight="true" outlineLevel="0" collapsed="false">
      <c r="A285" s="116" t="n">
        <v>45624</v>
      </c>
      <c r="B285" s="99" t="s">
        <v>365</v>
      </c>
      <c r="C285" s="100" t="s">
        <v>366</v>
      </c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83"/>
      <c r="P285" s="101" t="n">
        <v>4550</v>
      </c>
      <c r="Q285" s="102" t="s">
        <v>270</v>
      </c>
      <c r="R285" s="102" t="s">
        <v>321</v>
      </c>
      <c r="S285" s="105"/>
      <c r="T285" s="104"/>
      <c r="U285" s="104"/>
      <c r="V285" s="104"/>
      <c r="W285" s="104"/>
      <c r="X285" s="104"/>
      <c r="Y285" s="104"/>
      <c r="Z285" s="104" t="n">
        <v>1200</v>
      </c>
      <c r="AA285" s="104"/>
      <c r="AB285" s="104"/>
      <c r="AC285" s="104" t="n">
        <v>3350</v>
      </c>
      <c r="AD285" s="105"/>
      <c r="AE285" s="105"/>
      <c r="AG285" s="8"/>
    </row>
    <row r="286" customFormat="false" ht="15" hidden="false" customHeight="true" outlineLevel="0" collapsed="false">
      <c r="A286" s="116" t="n">
        <v>45636</v>
      </c>
      <c r="B286" s="99" t="s">
        <v>367</v>
      </c>
      <c r="C286" s="100" t="s">
        <v>368</v>
      </c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  <c r="O286" s="83"/>
      <c r="P286" s="101" t="n">
        <v>3400</v>
      </c>
      <c r="Q286" s="102" t="s">
        <v>270</v>
      </c>
      <c r="R286" s="102" t="s">
        <v>351</v>
      </c>
      <c r="S286" s="105"/>
      <c r="T286" s="104" t="n">
        <v>3400</v>
      </c>
      <c r="U286" s="104"/>
      <c r="V286" s="104"/>
      <c r="W286" s="104"/>
      <c r="X286" s="104"/>
      <c r="Y286" s="104"/>
      <c r="Z286" s="104"/>
      <c r="AA286" s="104"/>
      <c r="AB286" s="104"/>
      <c r="AC286" s="104"/>
      <c r="AD286" s="105"/>
      <c r="AE286" s="105"/>
      <c r="AG286" s="8"/>
    </row>
    <row r="287" customFormat="false" ht="15" hidden="false" customHeight="true" outlineLevel="0" collapsed="false">
      <c r="A287" s="116" t="n">
        <v>45636</v>
      </c>
      <c r="B287" s="99" t="s">
        <v>369</v>
      </c>
      <c r="C287" s="100" t="s">
        <v>368</v>
      </c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  <c r="O287" s="83"/>
      <c r="P287" s="101" t="n">
        <v>500</v>
      </c>
      <c r="Q287" s="102" t="s">
        <v>270</v>
      </c>
      <c r="R287" s="102" t="s">
        <v>359</v>
      </c>
      <c r="S287" s="105"/>
      <c r="T287" s="104" t="n">
        <v>500</v>
      </c>
      <c r="U287" s="104"/>
      <c r="V287" s="104"/>
      <c r="W287" s="104"/>
      <c r="X287" s="104"/>
      <c r="Y287" s="104"/>
      <c r="Z287" s="104"/>
      <c r="AA287" s="104"/>
      <c r="AB287" s="104"/>
      <c r="AC287" s="104"/>
      <c r="AD287" s="105"/>
      <c r="AE287" s="105"/>
      <c r="AG287" s="8"/>
    </row>
    <row r="288" customFormat="false" ht="15" hidden="false" customHeight="true" outlineLevel="0" collapsed="false">
      <c r="A288" s="116" t="n">
        <v>45688</v>
      </c>
      <c r="B288" s="99" t="s">
        <v>370</v>
      </c>
      <c r="C288" s="100" t="s">
        <v>336</v>
      </c>
      <c r="D288" s="100"/>
      <c r="E288" s="100"/>
      <c r="F288" s="100"/>
      <c r="G288" s="100"/>
      <c r="H288" s="100"/>
      <c r="I288" s="100"/>
      <c r="J288" s="100"/>
      <c r="K288" s="100"/>
      <c r="L288" s="100"/>
      <c r="M288" s="100"/>
      <c r="N288" s="100"/>
      <c r="O288" s="83"/>
      <c r="P288" s="101" t="n">
        <v>6000</v>
      </c>
      <c r="Q288" s="102" t="s">
        <v>270</v>
      </c>
      <c r="R288" s="102" t="s">
        <v>364</v>
      </c>
      <c r="S288" s="105"/>
      <c r="T288" s="104"/>
      <c r="U288" s="104"/>
      <c r="V288" s="104"/>
      <c r="W288" s="104"/>
      <c r="X288" s="104"/>
      <c r="Y288" s="104"/>
      <c r="Z288" s="104" t="n">
        <v>1800</v>
      </c>
      <c r="AA288" s="104"/>
      <c r="AB288" s="104"/>
      <c r="AC288" s="104" t="n">
        <v>4200</v>
      </c>
      <c r="AD288" s="105"/>
      <c r="AE288" s="105"/>
      <c r="AG288" s="8"/>
    </row>
    <row r="289" customFormat="false" ht="15" hidden="false" customHeight="true" outlineLevel="0" collapsed="false">
      <c r="A289" s="116" t="n">
        <v>45688</v>
      </c>
      <c r="B289" s="99" t="s">
        <v>371</v>
      </c>
      <c r="C289" s="100" t="s">
        <v>372</v>
      </c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83"/>
      <c r="P289" s="101" t="n">
        <v>4700</v>
      </c>
      <c r="Q289" s="102" t="s">
        <v>270</v>
      </c>
      <c r="R289" s="102" t="s">
        <v>373</v>
      </c>
      <c r="S289" s="105"/>
      <c r="T289" s="104" t="n">
        <v>900</v>
      </c>
      <c r="U289" s="104"/>
      <c r="V289" s="104"/>
      <c r="W289" s="104"/>
      <c r="X289" s="104"/>
      <c r="Y289" s="104"/>
      <c r="Z289" s="104"/>
      <c r="AA289" s="104"/>
      <c r="AB289" s="104"/>
      <c r="AC289" s="104" t="n">
        <v>3800</v>
      </c>
      <c r="AD289" s="105"/>
      <c r="AE289" s="105"/>
      <c r="AG289" s="8"/>
    </row>
    <row r="290" customFormat="false" ht="15" hidden="false" customHeight="true" outlineLevel="0" collapsed="false">
      <c r="A290" s="116" t="n">
        <v>45688</v>
      </c>
      <c r="B290" s="99" t="s">
        <v>374</v>
      </c>
      <c r="C290" s="100" t="s">
        <v>304</v>
      </c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83"/>
      <c r="P290" s="101" t="n">
        <v>2000</v>
      </c>
      <c r="Q290" s="102" t="s">
        <v>270</v>
      </c>
      <c r="R290" s="102" t="s">
        <v>316</v>
      </c>
      <c r="S290" s="105"/>
      <c r="T290" s="104" t="n">
        <v>2000</v>
      </c>
      <c r="U290" s="104"/>
      <c r="V290" s="104"/>
      <c r="W290" s="104"/>
      <c r="X290" s="104"/>
      <c r="Y290" s="104"/>
      <c r="Z290" s="104"/>
      <c r="AA290" s="104"/>
      <c r="AB290" s="104"/>
      <c r="AC290" s="104"/>
      <c r="AD290" s="105"/>
      <c r="AE290" s="105"/>
      <c r="AG290" s="8"/>
    </row>
    <row r="291" customFormat="false" ht="15" hidden="false" customHeight="true" outlineLevel="0" collapsed="false">
      <c r="A291" s="116" t="n">
        <v>45688</v>
      </c>
      <c r="B291" s="99" t="s">
        <v>375</v>
      </c>
      <c r="C291" s="100" t="s">
        <v>376</v>
      </c>
      <c r="D291" s="100"/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  <c r="O291" s="83"/>
      <c r="P291" s="101" t="n">
        <v>7500</v>
      </c>
      <c r="Q291" s="102" t="s">
        <v>270</v>
      </c>
      <c r="R291" s="102" t="s">
        <v>316</v>
      </c>
      <c r="S291" s="105"/>
      <c r="T291" s="102" t="n">
        <v>7500</v>
      </c>
      <c r="U291" s="102"/>
      <c r="V291" s="104"/>
      <c r="W291" s="104"/>
      <c r="X291" s="104"/>
      <c r="Y291" s="104"/>
      <c r="Z291" s="104"/>
      <c r="AA291" s="104"/>
      <c r="AB291" s="104"/>
      <c r="AC291" s="104"/>
      <c r="AD291" s="105"/>
      <c r="AE291" s="105"/>
      <c r="AG291" s="8"/>
    </row>
    <row r="292" customFormat="false" ht="15" hidden="false" customHeight="true" outlineLevel="0" collapsed="false">
      <c r="A292" s="116"/>
      <c r="B292" s="99"/>
      <c r="C292" s="100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117"/>
      <c r="P292" s="117"/>
      <c r="Q292" s="117"/>
      <c r="R292" s="105"/>
      <c r="S292" s="105"/>
      <c r="T292" s="105"/>
      <c r="U292" s="105"/>
      <c r="V292" s="104"/>
      <c r="W292" s="104"/>
      <c r="X292" s="104"/>
      <c r="Y292" s="104"/>
      <c r="Z292" s="104"/>
      <c r="AA292" s="104"/>
      <c r="AB292" s="104"/>
      <c r="AC292" s="104"/>
      <c r="AD292" s="105"/>
      <c r="AE292" s="105"/>
      <c r="AG292" s="8"/>
    </row>
    <row r="293" customFormat="false" ht="14.25" hidden="false" customHeight="true" outlineLevel="0" collapsed="false">
      <c r="A293" s="2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G293" s="8"/>
    </row>
    <row r="294" customFormat="false" ht="14.25" hidden="false" customHeight="true" outlineLevel="0" collapsed="false">
      <c r="A294" s="2"/>
      <c r="B294" s="1" t="s">
        <v>44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14"/>
      <c r="S294" s="118"/>
      <c r="T294" s="118"/>
      <c r="U294" s="118"/>
      <c r="V294" s="118"/>
      <c r="W294" s="118"/>
      <c r="X294" s="118"/>
      <c r="Y294" s="118"/>
      <c r="Z294" s="118"/>
      <c r="AA294" s="118"/>
      <c r="AB294" s="118"/>
      <c r="AC294" s="118"/>
      <c r="AD294" s="118"/>
      <c r="AE294" s="118"/>
      <c r="AG294" s="8"/>
    </row>
    <row r="295" customFormat="false" ht="14.25" hidden="false" customHeight="true" outlineLevel="0" collapsed="false">
      <c r="A295" s="2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14"/>
      <c r="Q295" s="108"/>
      <c r="R295" s="119" t="n">
        <f aca="false">SUM(S295:AD295)</f>
        <v>152934</v>
      </c>
      <c r="S295" s="120" t="n">
        <f aca="false">SUM(S297:S337)</f>
        <v>0</v>
      </c>
      <c r="T295" s="120" t="n">
        <f aca="false">SUM(T297:T337)</f>
        <v>105107.5</v>
      </c>
      <c r="U295" s="120"/>
      <c r="V295" s="120" t="n">
        <f aca="false">SUM(V297:V337)</f>
        <v>400</v>
      </c>
      <c r="W295" s="120" t="n">
        <f aca="false">SUM(W297:W337)</f>
        <v>6962.5</v>
      </c>
      <c r="X295" s="120"/>
      <c r="Y295" s="120" t="n">
        <f aca="false">SUM(Y297:Y337)</f>
        <v>25550</v>
      </c>
      <c r="Z295" s="120" t="n">
        <f aca="false">SUM(Z297:Z337)</f>
        <v>7064</v>
      </c>
      <c r="AA295" s="120"/>
      <c r="AB295" s="120"/>
      <c r="AC295" s="120" t="n">
        <f aca="false">SUM(AC297:AC337)</f>
        <v>7850</v>
      </c>
      <c r="AD295" s="120" t="n">
        <f aca="false">SUM(AD297:AD337)</f>
        <v>0</v>
      </c>
      <c r="AE295" s="120" t="n">
        <f aca="false">SUM(AE297:AE337)</f>
        <v>0</v>
      </c>
      <c r="AG295" s="8"/>
    </row>
    <row r="296" customFormat="false" ht="15.75" hidden="false" customHeight="true" outlineLevel="0" collapsed="false">
      <c r="A296" s="111" t="n">
        <v>2023</v>
      </c>
      <c r="B296" s="91" t="s">
        <v>261</v>
      </c>
      <c r="C296" s="92"/>
      <c r="D296" s="92"/>
      <c r="E296" s="92"/>
      <c r="F296" s="92"/>
      <c r="G296" s="92"/>
      <c r="H296" s="92"/>
      <c r="I296" s="92"/>
      <c r="J296" s="92"/>
      <c r="K296" s="93"/>
      <c r="L296" s="92"/>
      <c r="M296" s="92"/>
      <c r="N296" s="94" t="n">
        <v>2023</v>
      </c>
      <c r="O296" s="121" t="s">
        <v>262</v>
      </c>
      <c r="P296" s="122" t="n">
        <f aca="false">SUM(P297:P337)</f>
        <v>152934</v>
      </c>
      <c r="Q296" s="98" t="s">
        <v>263</v>
      </c>
      <c r="R296" s="98" t="s">
        <v>288</v>
      </c>
      <c r="S296" s="98" t="s">
        <v>7</v>
      </c>
      <c r="T296" s="98" t="s">
        <v>9</v>
      </c>
      <c r="U296" s="98"/>
      <c r="V296" s="98" t="s">
        <v>265</v>
      </c>
      <c r="W296" s="98" t="s">
        <v>266</v>
      </c>
      <c r="X296" s="98"/>
      <c r="Y296" s="98" t="s">
        <v>10</v>
      </c>
      <c r="Z296" s="98" t="s">
        <v>38</v>
      </c>
      <c r="AA296" s="98" t="s">
        <v>267</v>
      </c>
      <c r="AB296" s="98"/>
      <c r="AC296" s="98" t="s">
        <v>13</v>
      </c>
      <c r="AD296" s="98" t="s">
        <v>14</v>
      </c>
      <c r="AE296" s="98" t="s">
        <v>16</v>
      </c>
      <c r="AG296" s="8"/>
    </row>
    <row r="297" customFormat="false" ht="15.75" hidden="false" customHeight="true" outlineLevel="0" collapsed="false">
      <c r="A297" s="112" t="n">
        <v>45302</v>
      </c>
      <c r="B297" s="123" t="s">
        <v>377</v>
      </c>
      <c r="C297" s="100" t="s">
        <v>378</v>
      </c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105"/>
      <c r="P297" s="124" t="n">
        <v>14450</v>
      </c>
      <c r="Q297" s="100" t="s">
        <v>270</v>
      </c>
      <c r="R297" s="100" t="s">
        <v>379</v>
      </c>
      <c r="S297" s="105"/>
      <c r="T297" s="104" t="n">
        <v>9350</v>
      </c>
      <c r="U297" s="104"/>
      <c r="V297" s="104" t="n">
        <v>100</v>
      </c>
      <c r="W297" s="105"/>
      <c r="X297" s="105"/>
      <c r="Y297" s="104" t="n">
        <v>5000</v>
      </c>
      <c r="Z297" s="105"/>
      <c r="AA297" s="105"/>
      <c r="AB297" s="105"/>
      <c r="AC297" s="105"/>
      <c r="AD297" s="105"/>
      <c r="AE297" s="105"/>
      <c r="AG297" s="8"/>
    </row>
    <row r="298" customFormat="false" ht="15.75" hidden="false" customHeight="true" outlineLevel="0" collapsed="false">
      <c r="A298" s="112" t="n">
        <v>45302</v>
      </c>
      <c r="B298" s="123" t="s">
        <v>380</v>
      </c>
      <c r="C298" s="100" t="s">
        <v>381</v>
      </c>
      <c r="D298" s="100"/>
      <c r="E298" s="100"/>
      <c r="F298" s="100"/>
      <c r="G298" s="100"/>
      <c r="H298" s="100"/>
      <c r="I298" s="100"/>
      <c r="J298" s="100"/>
      <c r="K298" s="100"/>
      <c r="L298" s="100"/>
      <c r="M298" s="100"/>
      <c r="N298" s="100"/>
      <c r="O298" s="105"/>
      <c r="P298" s="124" t="n">
        <v>1225</v>
      </c>
      <c r="Q298" s="100" t="s">
        <v>270</v>
      </c>
      <c r="R298" s="100" t="s">
        <v>379</v>
      </c>
      <c r="S298" s="105"/>
      <c r="T298" s="104" t="n">
        <v>1225</v>
      </c>
      <c r="U298" s="104"/>
      <c r="V298" s="105"/>
      <c r="W298" s="105"/>
      <c r="X298" s="105"/>
      <c r="Y298" s="105"/>
      <c r="Z298" s="105"/>
      <c r="AA298" s="105"/>
      <c r="AB298" s="105"/>
      <c r="AC298" s="105"/>
      <c r="AD298" s="105"/>
      <c r="AE298" s="105"/>
      <c r="AG298" s="8"/>
    </row>
    <row r="299" customFormat="false" ht="15.75" hidden="false" customHeight="true" outlineLevel="0" collapsed="false">
      <c r="A299" s="112" t="n">
        <v>45302</v>
      </c>
      <c r="B299" s="123" t="s">
        <v>382</v>
      </c>
      <c r="C299" s="100" t="s">
        <v>383</v>
      </c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100"/>
      <c r="O299" s="117"/>
      <c r="P299" s="124" t="n">
        <v>9250</v>
      </c>
      <c r="Q299" s="100" t="s">
        <v>270</v>
      </c>
      <c r="R299" s="100" t="s">
        <v>384</v>
      </c>
      <c r="S299" s="105"/>
      <c r="T299" s="104" t="n">
        <v>9150</v>
      </c>
      <c r="U299" s="104"/>
      <c r="V299" s="104" t="n">
        <v>100</v>
      </c>
      <c r="W299" s="105"/>
      <c r="X299" s="105"/>
      <c r="Y299" s="105"/>
      <c r="Z299" s="105"/>
      <c r="AA299" s="105"/>
      <c r="AB299" s="105"/>
      <c r="AC299" s="105"/>
      <c r="AD299" s="105"/>
      <c r="AE299" s="105"/>
      <c r="AG299" s="8"/>
    </row>
    <row r="300" customFormat="false" ht="15.75" hidden="false" customHeight="true" outlineLevel="0" collapsed="false">
      <c r="A300" s="112" t="n">
        <v>45302</v>
      </c>
      <c r="B300" s="123" t="s">
        <v>385</v>
      </c>
      <c r="C300" s="100" t="s">
        <v>383</v>
      </c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17"/>
      <c r="P300" s="124" t="n">
        <v>7500</v>
      </c>
      <c r="Q300" s="100" t="s">
        <v>270</v>
      </c>
      <c r="R300" s="100" t="s">
        <v>386</v>
      </c>
      <c r="S300" s="105"/>
      <c r="T300" s="104" t="n">
        <v>7400</v>
      </c>
      <c r="U300" s="104"/>
      <c r="V300" s="104" t="n">
        <v>100</v>
      </c>
      <c r="W300" s="105"/>
      <c r="X300" s="105"/>
      <c r="Y300" s="105"/>
      <c r="Z300" s="105"/>
      <c r="AA300" s="105"/>
      <c r="AB300" s="105"/>
      <c r="AC300" s="105"/>
      <c r="AD300" s="105"/>
      <c r="AE300" s="105"/>
      <c r="AG300" s="8"/>
    </row>
    <row r="301" customFormat="false" ht="15.75" hidden="false" customHeight="true" outlineLevel="0" collapsed="false">
      <c r="A301" s="112" t="n">
        <v>45302</v>
      </c>
      <c r="B301" s="123" t="s">
        <v>387</v>
      </c>
      <c r="C301" s="100" t="s">
        <v>383</v>
      </c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117"/>
      <c r="P301" s="124" t="n">
        <v>11200</v>
      </c>
      <c r="Q301" s="100" t="s">
        <v>270</v>
      </c>
      <c r="R301" s="100" t="s">
        <v>388</v>
      </c>
      <c r="S301" s="105"/>
      <c r="T301" s="104" t="n">
        <v>4300</v>
      </c>
      <c r="U301" s="104"/>
      <c r="V301" s="104" t="n">
        <v>100</v>
      </c>
      <c r="W301" s="105"/>
      <c r="X301" s="105"/>
      <c r="Y301" s="105"/>
      <c r="Z301" s="105"/>
      <c r="AA301" s="105"/>
      <c r="AB301" s="105"/>
      <c r="AC301" s="104" t="n">
        <v>6800</v>
      </c>
      <c r="AD301" s="105"/>
      <c r="AE301" s="105"/>
      <c r="AG301" s="8"/>
    </row>
    <row r="302" customFormat="false" ht="15.75" hidden="false" customHeight="true" outlineLevel="0" collapsed="false">
      <c r="A302" s="112" t="n">
        <v>45309</v>
      </c>
      <c r="B302" s="123" t="s">
        <v>389</v>
      </c>
      <c r="C302" s="100" t="s">
        <v>390</v>
      </c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17"/>
      <c r="P302" s="124" t="n">
        <v>4850</v>
      </c>
      <c r="Q302" s="100" t="s">
        <v>270</v>
      </c>
      <c r="R302" s="100" t="s">
        <v>379</v>
      </c>
      <c r="S302" s="105"/>
      <c r="T302" s="104" t="n">
        <v>4850</v>
      </c>
      <c r="U302" s="104"/>
      <c r="V302" s="105"/>
      <c r="W302" s="105"/>
      <c r="X302" s="105"/>
      <c r="Y302" s="105"/>
      <c r="Z302" s="105"/>
      <c r="AA302" s="105"/>
      <c r="AB302" s="105"/>
      <c r="AC302" s="105"/>
      <c r="AD302" s="105"/>
      <c r="AE302" s="105"/>
      <c r="AG302" s="8"/>
    </row>
    <row r="303" customFormat="false" ht="15.75" hidden="false" customHeight="true" outlineLevel="0" collapsed="false">
      <c r="A303" s="112" t="n">
        <v>45314</v>
      </c>
      <c r="B303" s="123" t="s">
        <v>391</v>
      </c>
      <c r="C303" s="100" t="s">
        <v>392</v>
      </c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17"/>
      <c r="P303" s="124" t="n">
        <v>3750</v>
      </c>
      <c r="Q303" s="100" t="s">
        <v>346</v>
      </c>
      <c r="R303" s="100" t="s">
        <v>393</v>
      </c>
      <c r="S303" s="105"/>
      <c r="T303" s="105"/>
      <c r="U303" s="105"/>
      <c r="V303" s="105"/>
      <c r="W303" s="105"/>
      <c r="X303" s="105"/>
      <c r="Y303" s="104" t="n">
        <v>3750</v>
      </c>
      <c r="Z303" s="105"/>
      <c r="AA303" s="105"/>
      <c r="AB303" s="105"/>
      <c r="AC303" s="105"/>
      <c r="AD303" s="105"/>
      <c r="AE303" s="105"/>
      <c r="AG303" s="8"/>
    </row>
    <row r="304" customFormat="false" ht="15.75" hidden="false" customHeight="true" outlineLevel="0" collapsed="false">
      <c r="A304" s="112" t="n">
        <v>45316</v>
      </c>
      <c r="B304" s="123" t="s">
        <v>394</v>
      </c>
      <c r="C304" s="100" t="s">
        <v>395</v>
      </c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117"/>
      <c r="P304" s="124" t="n">
        <v>3100</v>
      </c>
      <c r="Q304" s="100" t="s">
        <v>270</v>
      </c>
      <c r="R304" s="100" t="s">
        <v>396</v>
      </c>
      <c r="S304" s="105"/>
      <c r="T304" s="104" t="n">
        <v>3100</v>
      </c>
      <c r="U304" s="104"/>
      <c r="V304" s="105"/>
      <c r="W304" s="105"/>
      <c r="X304" s="105"/>
      <c r="Y304" s="105"/>
      <c r="Z304" s="105"/>
      <c r="AA304" s="105"/>
      <c r="AB304" s="105"/>
      <c r="AC304" s="105"/>
      <c r="AD304" s="105"/>
      <c r="AE304" s="105"/>
      <c r="AG304" s="8"/>
    </row>
    <row r="305" customFormat="false" ht="15.75" hidden="false" customHeight="true" outlineLevel="0" collapsed="false">
      <c r="A305" s="112" t="n">
        <v>45320</v>
      </c>
      <c r="B305" s="123" t="s">
        <v>397</v>
      </c>
      <c r="C305" s="100" t="s">
        <v>398</v>
      </c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17"/>
      <c r="P305" s="124" t="n">
        <v>480</v>
      </c>
      <c r="Q305" s="100" t="s">
        <v>270</v>
      </c>
      <c r="R305" s="100" t="s">
        <v>399</v>
      </c>
      <c r="S305" s="105"/>
      <c r="T305" s="104" t="n">
        <v>480</v>
      </c>
      <c r="U305" s="104"/>
      <c r="V305" s="105"/>
      <c r="W305" s="105"/>
      <c r="X305" s="105"/>
      <c r="Y305" s="105"/>
      <c r="Z305" s="105"/>
      <c r="AA305" s="105"/>
      <c r="AB305" s="105"/>
      <c r="AC305" s="105"/>
      <c r="AG305" s="8"/>
    </row>
    <row r="306" customFormat="false" ht="15.75" hidden="false" customHeight="true" outlineLevel="0" collapsed="false">
      <c r="A306" s="112" t="n">
        <v>45321</v>
      </c>
      <c r="B306" s="123" t="s">
        <v>400</v>
      </c>
      <c r="C306" s="100" t="s">
        <v>401</v>
      </c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117"/>
      <c r="P306" s="124" t="n">
        <v>1050</v>
      </c>
      <c r="Q306" s="100" t="s">
        <v>270</v>
      </c>
      <c r="R306" s="100" t="s">
        <v>399</v>
      </c>
      <c r="S306" s="105"/>
      <c r="T306" s="105"/>
      <c r="U306" s="105"/>
      <c r="V306" s="105"/>
      <c r="W306" s="104" t="n">
        <v>1050</v>
      </c>
      <c r="X306" s="104"/>
      <c r="Y306" s="105"/>
      <c r="Z306" s="105"/>
      <c r="AA306" s="105"/>
      <c r="AB306" s="105"/>
      <c r="AC306" s="105"/>
      <c r="AG306" s="8"/>
    </row>
    <row r="307" customFormat="false" ht="15.75" hidden="false" customHeight="true" outlineLevel="0" collapsed="false">
      <c r="A307" s="112" t="n">
        <v>45322</v>
      </c>
      <c r="B307" s="123" t="s">
        <v>402</v>
      </c>
      <c r="C307" s="100" t="s">
        <v>403</v>
      </c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  <c r="O307" s="117"/>
      <c r="P307" s="124" t="n">
        <v>5800</v>
      </c>
      <c r="Q307" s="100" t="s">
        <v>270</v>
      </c>
      <c r="R307" s="100" t="s">
        <v>384</v>
      </c>
      <c r="S307" s="105"/>
      <c r="T307" s="104" t="n">
        <v>5800</v>
      </c>
      <c r="U307" s="104"/>
      <c r="V307" s="105"/>
      <c r="W307" s="105"/>
      <c r="X307" s="105"/>
      <c r="Y307" s="105"/>
      <c r="Z307" s="105"/>
      <c r="AA307" s="105"/>
      <c r="AB307" s="105"/>
      <c r="AC307" s="105"/>
      <c r="AG307" s="8"/>
    </row>
    <row r="308" customFormat="false" ht="15.75" hidden="false" customHeight="true" outlineLevel="0" collapsed="false">
      <c r="A308" s="112" t="n">
        <v>45322</v>
      </c>
      <c r="B308" s="123" t="s">
        <v>404</v>
      </c>
      <c r="C308" s="100" t="s">
        <v>405</v>
      </c>
      <c r="D308" s="100"/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  <c r="O308" s="117"/>
      <c r="P308" s="124" t="n">
        <v>7012.5</v>
      </c>
      <c r="Q308" s="100" t="s">
        <v>270</v>
      </c>
      <c r="R308" s="100" t="s">
        <v>388</v>
      </c>
      <c r="S308" s="105"/>
      <c r="T308" s="104" t="n">
        <v>7012.5</v>
      </c>
      <c r="U308" s="104"/>
      <c r="V308" s="105"/>
      <c r="W308" s="105"/>
      <c r="X308" s="105"/>
      <c r="Y308" s="105"/>
      <c r="Z308" s="105"/>
      <c r="AA308" s="105"/>
      <c r="AB308" s="105"/>
      <c r="AC308" s="105"/>
      <c r="AG308" s="8"/>
    </row>
    <row r="309" customFormat="false" ht="15.75" hidden="false" customHeight="true" outlineLevel="0" collapsed="false">
      <c r="A309" s="112" t="n">
        <v>45343</v>
      </c>
      <c r="B309" s="123" t="s">
        <v>406</v>
      </c>
      <c r="C309" s="100" t="s">
        <v>407</v>
      </c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17"/>
      <c r="P309" s="124" t="n">
        <v>400</v>
      </c>
      <c r="Q309" s="100" t="s">
        <v>408</v>
      </c>
      <c r="R309" s="100" t="s">
        <v>379</v>
      </c>
      <c r="S309" s="105"/>
      <c r="T309" s="105"/>
      <c r="U309" s="105"/>
      <c r="V309" s="105"/>
      <c r="W309" s="105"/>
      <c r="X309" s="105"/>
      <c r="Y309" s="105"/>
      <c r="Z309" s="104" t="n">
        <v>400</v>
      </c>
      <c r="AA309" s="104"/>
      <c r="AB309" s="104"/>
      <c r="AC309" s="105"/>
      <c r="AG309" s="8"/>
    </row>
    <row r="310" customFormat="false" ht="15.75" hidden="false" customHeight="true" outlineLevel="0" collapsed="false">
      <c r="A310" s="112" t="n">
        <v>45351</v>
      </c>
      <c r="B310" s="123" t="s">
        <v>409</v>
      </c>
      <c r="C310" s="100" t="s">
        <v>383</v>
      </c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17"/>
      <c r="P310" s="124" t="n">
        <v>5700</v>
      </c>
      <c r="Q310" s="100" t="s">
        <v>270</v>
      </c>
      <c r="R310" s="100" t="s">
        <v>410</v>
      </c>
      <c r="S310" s="105"/>
      <c r="T310" s="105"/>
      <c r="U310" s="105"/>
      <c r="V310" s="105"/>
      <c r="W310" s="104" t="n">
        <v>1900</v>
      </c>
      <c r="X310" s="104"/>
      <c r="Y310" s="104" t="n">
        <v>3000</v>
      </c>
      <c r="Z310" s="104" t="n">
        <v>800</v>
      </c>
      <c r="AA310" s="104"/>
      <c r="AB310" s="104"/>
      <c r="AC310" s="105"/>
      <c r="AG310" s="8"/>
    </row>
    <row r="311" customFormat="false" ht="15.75" hidden="false" customHeight="true" outlineLevel="0" collapsed="false">
      <c r="A311" s="112" t="n">
        <v>45351</v>
      </c>
      <c r="B311" s="123" t="s">
        <v>411</v>
      </c>
      <c r="C311" s="100" t="s">
        <v>412</v>
      </c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17"/>
      <c r="P311" s="124" t="n">
        <v>9500</v>
      </c>
      <c r="Q311" s="100" t="s">
        <v>270</v>
      </c>
      <c r="R311" s="100" t="s">
        <v>413</v>
      </c>
      <c r="S311" s="105"/>
      <c r="T311" s="104" t="n">
        <v>9500</v>
      </c>
      <c r="U311" s="104"/>
      <c r="V311" s="105"/>
      <c r="W311" s="105"/>
      <c r="X311" s="105"/>
      <c r="Y311" s="105"/>
      <c r="Z311" s="105"/>
      <c r="AA311" s="105"/>
      <c r="AB311" s="105"/>
      <c r="AC311" s="105"/>
      <c r="AG311" s="8"/>
    </row>
    <row r="312" customFormat="false" ht="15.75" hidden="false" customHeight="true" outlineLevel="0" collapsed="false">
      <c r="A312" s="112" t="n">
        <v>45351</v>
      </c>
      <c r="B312" s="123" t="s">
        <v>414</v>
      </c>
      <c r="C312" s="100" t="s">
        <v>415</v>
      </c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17"/>
      <c r="P312" s="124" t="n">
        <v>1200</v>
      </c>
      <c r="Q312" s="100" t="s">
        <v>408</v>
      </c>
      <c r="R312" s="100" t="s">
        <v>416</v>
      </c>
      <c r="S312" s="105"/>
      <c r="T312" s="105"/>
      <c r="U312" s="105"/>
      <c r="V312" s="105"/>
      <c r="W312" s="105"/>
      <c r="X312" s="105"/>
      <c r="Y312" s="105"/>
      <c r="Z312" s="104" t="n">
        <v>1200</v>
      </c>
      <c r="AA312" s="104"/>
      <c r="AB312" s="104"/>
      <c r="AC312" s="105"/>
      <c r="AG312" s="8"/>
    </row>
    <row r="313" customFormat="false" ht="15.75" hidden="false" customHeight="true" outlineLevel="0" collapsed="false">
      <c r="A313" s="112" t="n">
        <v>45351</v>
      </c>
      <c r="B313" s="123" t="s">
        <v>417</v>
      </c>
      <c r="C313" s="100" t="s">
        <v>418</v>
      </c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117"/>
      <c r="P313" s="124" t="n">
        <v>4500</v>
      </c>
      <c r="Q313" s="100" t="s">
        <v>270</v>
      </c>
      <c r="R313" s="100" t="s">
        <v>419</v>
      </c>
      <c r="S313" s="105"/>
      <c r="T313" s="104" t="n">
        <v>4500</v>
      </c>
      <c r="U313" s="104"/>
      <c r="V313" s="105"/>
      <c r="W313" s="105"/>
      <c r="X313" s="105"/>
      <c r="Y313" s="105"/>
      <c r="Z313" s="105"/>
      <c r="AA313" s="105"/>
      <c r="AB313" s="105"/>
      <c r="AC313" s="105"/>
      <c r="AG313" s="8"/>
    </row>
    <row r="314" customFormat="false" ht="15.75" hidden="false" customHeight="true" outlineLevel="0" collapsed="false">
      <c r="A314" s="112" t="n">
        <v>45351</v>
      </c>
      <c r="B314" s="123" t="s">
        <v>420</v>
      </c>
      <c r="C314" s="100" t="s">
        <v>383</v>
      </c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17"/>
      <c r="P314" s="124" t="n">
        <v>450</v>
      </c>
      <c r="Q314" s="100" t="s">
        <v>270</v>
      </c>
      <c r="R314" s="100" t="s">
        <v>396</v>
      </c>
      <c r="S314" s="105"/>
      <c r="T314" s="105"/>
      <c r="U314" s="105"/>
      <c r="V314" s="105"/>
      <c r="W314" s="105"/>
      <c r="X314" s="105"/>
      <c r="Y314" s="105"/>
      <c r="Z314" s="105"/>
      <c r="AA314" s="105"/>
      <c r="AB314" s="105"/>
      <c r="AC314" s="104" t="n">
        <v>450</v>
      </c>
      <c r="AG314" s="8"/>
    </row>
    <row r="315" customFormat="false" ht="15.75" hidden="false" customHeight="true" outlineLevel="0" collapsed="false">
      <c r="A315" s="112" t="n">
        <v>45351</v>
      </c>
      <c r="B315" s="123" t="s">
        <v>421</v>
      </c>
      <c r="C315" s="100" t="s">
        <v>383</v>
      </c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17"/>
      <c r="P315" s="124" t="n">
        <v>3600</v>
      </c>
      <c r="Q315" s="100" t="s">
        <v>270</v>
      </c>
      <c r="R315" s="100" t="s">
        <v>416</v>
      </c>
      <c r="S315" s="105"/>
      <c r="T315" s="105"/>
      <c r="U315" s="105"/>
      <c r="V315" s="105"/>
      <c r="W315" s="104" t="n">
        <v>600</v>
      </c>
      <c r="X315" s="104"/>
      <c r="Y315" s="105"/>
      <c r="Z315" s="104" t="n">
        <v>2400</v>
      </c>
      <c r="AA315" s="104"/>
      <c r="AB315" s="104"/>
      <c r="AC315" s="104" t="n">
        <v>600</v>
      </c>
      <c r="AG315" s="8"/>
    </row>
    <row r="316" customFormat="false" ht="15.75" hidden="false" customHeight="true" outlineLevel="0" collapsed="false">
      <c r="A316" s="112" t="n">
        <v>45351</v>
      </c>
      <c r="B316" s="123" t="s">
        <v>422</v>
      </c>
      <c r="C316" s="100" t="s">
        <v>383</v>
      </c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117"/>
      <c r="P316" s="124" t="n">
        <v>5000</v>
      </c>
      <c r="Q316" s="100" t="s">
        <v>270</v>
      </c>
      <c r="R316" s="100" t="s">
        <v>393</v>
      </c>
      <c r="S316" s="105"/>
      <c r="T316" s="104" t="n">
        <v>5000</v>
      </c>
      <c r="U316" s="104"/>
      <c r="V316" s="104" t="n">
        <v>0</v>
      </c>
      <c r="W316" s="105"/>
      <c r="X316" s="105"/>
      <c r="Y316" s="105"/>
      <c r="Z316" s="105"/>
      <c r="AA316" s="105"/>
      <c r="AB316" s="105"/>
      <c r="AC316" s="105"/>
      <c r="AG316" s="8"/>
    </row>
    <row r="317" customFormat="false" ht="15.75" hidden="false" customHeight="true" outlineLevel="0" collapsed="false">
      <c r="A317" s="112" t="n">
        <v>45351</v>
      </c>
      <c r="B317" s="123" t="s">
        <v>423</v>
      </c>
      <c r="C317" s="100" t="s">
        <v>424</v>
      </c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17"/>
      <c r="P317" s="124" t="n">
        <v>3500</v>
      </c>
      <c r="Q317" s="100" t="s">
        <v>408</v>
      </c>
      <c r="R317" s="100" t="s">
        <v>393</v>
      </c>
      <c r="S317" s="105"/>
      <c r="T317" s="104" t="n">
        <v>2000</v>
      </c>
      <c r="U317" s="104"/>
      <c r="V317" s="104" t="n">
        <v>0</v>
      </c>
      <c r="W317" s="105"/>
      <c r="X317" s="105"/>
      <c r="Y317" s="104" t="n">
        <v>1500</v>
      </c>
      <c r="Z317" s="105"/>
      <c r="AA317" s="105"/>
      <c r="AB317" s="105"/>
      <c r="AC317" s="105"/>
      <c r="AG317" s="8"/>
    </row>
    <row r="318" customFormat="false" ht="15.75" hidden="false" customHeight="true" outlineLevel="0" collapsed="false">
      <c r="A318" s="112" t="n">
        <v>45365</v>
      </c>
      <c r="B318" s="123" t="s">
        <v>425</v>
      </c>
      <c r="C318" s="100" t="s">
        <v>426</v>
      </c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17"/>
      <c r="P318" s="124" t="n">
        <v>2000</v>
      </c>
      <c r="Q318" s="100" t="s">
        <v>408</v>
      </c>
      <c r="R318" s="100" t="s">
        <v>413</v>
      </c>
      <c r="S318" s="105"/>
      <c r="T318" s="104" t="n">
        <v>2000</v>
      </c>
      <c r="U318" s="104"/>
      <c r="V318" s="105"/>
      <c r="W318" s="105"/>
      <c r="X318" s="105"/>
      <c r="Y318" s="105"/>
      <c r="Z318" s="105"/>
      <c r="AA318" s="105"/>
      <c r="AB318" s="105"/>
      <c r="AC318" s="105"/>
      <c r="AG318" s="8"/>
    </row>
    <row r="319" customFormat="false" ht="15.75" hidden="false" customHeight="true" outlineLevel="0" collapsed="false">
      <c r="A319" s="112" t="n">
        <v>45365</v>
      </c>
      <c r="B319" s="125" t="s">
        <v>427</v>
      </c>
      <c r="C319" s="100" t="s">
        <v>428</v>
      </c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17"/>
      <c r="P319" s="124" t="n">
        <v>4800</v>
      </c>
      <c r="Q319" s="100" t="s">
        <v>270</v>
      </c>
      <c r="R319" s="100" t="s">
        <v>396</v>
      </c>
      <c r="S319" s="105"/>
      <c r="T319" s="105"/>
      <c r="U319" s="105"/>
      <c r="V319" s="105"/>
      <c r="W319" s="105"/>
      <c r="X319" s="105"/>
      <c r="Y319" s="104" t="n">
        <v>4800</v>
      </c>
      <c r="Z319" s="105"/>
      <c r="AA319" s="105"/>
      <c r="AB319" s="105"/>
      <c r="AC319" s="105"/>
      <c r="AG319" s="8"/>
    </row>
    <row r="320" customFormat="false" ht="15.75" hidden="false" customHeight="true" outlineLevel="0" collapsed="false">
      <c r="A320" s="112" t="n">
        <v>45380</v>
      </c>
      <c r="B320" s="123" t="s">
        <v>429</v>
      </c>
      <c r="C320" s="100" t="s">
        <v>297</v>
      </c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117"/>
      <c r="P320" s="124" t="n">
        <v>2600</v>
      </c>
      <c r="Q320" s="100" t="s">
        <v>270</v>
      </c>
      <c r="R320" s="100" t="s">
        <v>379</v>
      </c>
      <c r="S320" s="105"/>
      <c r="T320" s="104" t="n">
        <v>2600</v>
      </c>
      <c r="U320" s="104"/>
      <c r="V320" s="105"/>
      <c r="W320" s="105"/>
      <c r="X320" s="105"/>
      <c r="Y320" s="105"/>
      <c r="Z320" s="105"/>
      <c r="AA320" s="105"/>
      <c r="AB320" s="105"/>
      <c r="AC320" s="105"/>
      <c r="AG320" s="8"/>
    </row>
    <row r="321" customFormat="false" ht="15.75" hidden="false" customHeight="true" outlineLevel="0" collapsed="false">
      <c r="A321" s="112" t="n">
        <v>45398</v>
      </c>
      <c r="B321" s="123" t="s">
        <v>430</v>
      </c>
      <c r="C321" s="100" t="s">
        <v>431</v>
      </c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117"/>
      <c r="P321" s="124" t="n">
        <v>1160</v>
      </c>
      <c r="Q321" s="100" t="s">
        <v>270</v>
      </c>
      <c r="R321" s="100" t="s">
        <v>396</v>
      </c>
      <c r="S321" s="105"/>
      <c r="T321" s="104" t="n">
        <v>1160</v>
      </c>
      <c r="U321" s="104"/>
      <c r="V321" s="105"/>
      <c r="W321" s="105"/>
      <c r="X321" s="105"/>
      <c r="Y321" s="105"/>
      <c r="Z321" s="105"/>
      <c r="AA321" s="105"/>
      <c r="AB321" s="83"/>
      <c r="AG321" s="8"/>
    </row>
    <row r="322" customFormat="false" ht="15.75" hidden="false" customHeight="true" outlineLevel="0" collapsed="false">
      <c r="A322" s="112" t="n">
        <v>45406</v>
      </c>
      <c r="B322" s="123" t="s">
        <v>432</v>
      </c>
      <c r="C322" s="100" t="s">
        <v>426</v>
      </c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17"/>
      <c r="P322" s="124" t="n">
        <v>4740</v>
      </c>
      <c r="Q322" s="100" t="s">
        <v>408</v>
      </c>
      <c r="R322" s="100" t="s">
        <v>410</v>
      </c>
      <c r="S322" s="105"/>
      <c r="T322" s="104" t="n">
        <v>4740</v>
      </c>
      <c r="U322" s="104"/>
      <c r="V322" s="105"/>
      <c r="W322" s="105"/>
      <c r="X322" s="105"/>
      <c r="Y322" s="105"/>
      <c r="Z322" s="105"/>
      <c r="AA322" s="105"/>
      <c r="AB322" s="83"/>
      <c r="AG322" s="8"/>
    </row>
    <row r="323" customFormat="false" ht="15.75" hidden="false" customHeight="true" outlineLevel="0" collapsed="false">
      <c r="A323" s="112" t="n">
        <v>45412</v>
      </c>
      <c r="B323" s="123" t="s">
        <v>433</v>
      </c>
      <c r="C323" s="100" t="s">
        <v>434</v>
      </c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17"/>
      <c r="P323" s="124" t="n">
        <v>1900</v>
      </c>
      <c r="Q323" s="100" t="s">
        <v>408</v>
      </c>
      <c r="R323" s="100" t="s">
        <v>435</v>
      </c>
      <c r="S323" s="105"/>
      <c r="T323" s="104" t="n">
        <v>1900</v>
      </c>
      <c r="U323" s="104"/>
      <c r="V323" s="105"/>
      <c r="W323" s="105"/>
      <c r="X323" s="105"/>
      <c r="Y323" s="105"/>
      <c r="Z323" s="105"/>
      <c r="AA323" s="105"/>
      <c r="AB323" s="83"/>
      <c r="AG323" s="8"/>
    </row>
    <row r="324" customFormat="false" ht="15.75" hidden="false" customHeight="true" outlineLevel="0" collapsed="false">
      <c r="A324" s="112" t="n">
        <v>45412</v>
      </c>
      <c r="B324" s="123" t="s">
        <v>436</v>
      </c>
      <c r="C324" s="100" t="s">
        <v>437</v>
      </c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17"/>
      <c r="P324" s="124" t="n">
        <v>1400</v>
      </c>
      <c r="Q324" s="100" t="s">
        <v>270</v>
      </c>
      <c r="R324" s="100" t="s">
        <v>399</v>
      </c>
      <c r="S324" s="105"/>
      <c r="T324" s="105"/>
      <c r="U324" s="105"/>
      <c r="V324" s="105"/>
      <c r="W324" s="105"/>
      <c r="X324" s="105"/>
      <c r="Y324" s="105"/>
      <c r="Z324" s="104" t="n">
        <v>1400</v>
      </c>
      <c r="AA324" s="104"/>
      <c r="AB324" s="126"/>
      <c r="AG324" s="8"/>
    </row>
    <row r="325" customFormat="false" ht="15.75" hidden="false" customHeight="true" outlineLevel="0" collapsed="false">
      <c r="A325" s="112" t="n">
        <v>45412</v>
      </c>
      <c r="B325" s="123" t="s">
        <v>438</v>
      </c>
      <c r="C325" s="100" t="s">
        <v>439</v>
      </c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17"/>
      <c r="P325" s="124" t="n">
        <v>9000</v>
      </c>
      <c r="Q325" s="100" t="s">
        <v>270</v>
      </c>
      <c r="R325" s="100" t="s">
        <v>399</v>
      </c>
      <c r="S325" s="105"/>
      <c r="T325" s="104" t="n">
        <v>9000</v>
      </c>
      <c r="U325" s="104"/>
      <c r="V325" s="105"/>
      <c r="W325" s="105"/>
      <c r="X325" s="105"/>
      <c r="Y325" s="105"/>
      <c r="Z325" s="105"/>
      <c r="AA325" s="105"/>
      <c r="AB325" s="83"/>
      <c r="AG325" s="8"/>
    </row>
    <row r="326" customFormat="false" ht="15.75" hidden="false" customHeight="true" outlineLevel="0" collapsed="false">
      <c r="A326" s="112" t="n">
        <v>45412</v>
      </c>
      <c r="B326" s="123" t="s">
        <v>440</v>
      </c>
      <c r="C326" s="100" t="s">
        <v>441</v>
      </c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17"/>
      <c r="P326" s="124" t="n">
        <v>995</v>
      </c>
      <c r="Q326" s="100" t="s">
        <v>408</v>
      </c>
      <c r="R326" s="100" t="s">
        <v>396</v>
      </c>
      <c r="S326" s="105"/>
      <c r="T326" s="104" t="n">
        <v>995</v>
      </c>
      <c r="U326" s="104"/>
      <c r="V326" s="105"/>
      <c r="W326" s="105"/>
      <c r="X326" s="105"/>
      <c r="Y326" s="105"/>
      <c r="Z326" s="105"/>
      <c r="AA326" s="105"/>
      <c r="AB326" s="83"/>
      <c r="AG326" s="8"/>
    </row>
    <row r="327" customFormat="false" ht="15.75" hidden="false" customHeight="true" outlineLevel="0" collapsed="false">
      <c r="A327" s="112" t="n">
        <v>45422</v>
      </c>
      <c r="B327" s="123" t="s">
        <v>442</v>
      </c>
      <c r="C327" s="100" t="s">
        <v>443</v>
      </c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17"/>
      <c r="P327" s="124" t="n">
        <v>3850</v>
      </c>
      <c r="Q327" s="100" t="s">
        <v>408</v>
      </c>
      <c r="R327" s="100" t="s">
        <v>416</v>
      </c>
      <c r="S327" s="105"/>
      <c r="T327" s="104" t="n">
        <v>2350</v>
      </c>
      <c r="U327" s="104"/>
      <c r="V327" s="105"/>
      <c r="W327" s="105"/>
      <c r="X327" s="105"/>
      <c r="Y327" s="104" t="n">
        <v>1500</v>
      </c>
      <c r="Z327" s="105"/>
      <c r="AA327" s="105"/>
      <c r="AB327" s="83"/>
      <c r="AG327" s="8"/>
    </row>
    <row r="328" customFormat="false" ht="15.75" hidden="false" customHeight="true" outlineLevel="0" collapsed="false">
      <c r="A328" s="112" t="n">
        <v>45426</v>
      </c>
      <c r="B328" s="123" t="s">
        <v>444</v>
      </c>
      <c r="C328" s="100" t="s">
        <v>445</v>
      </c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17"/>
      <c r="P328" s="124" t="n">
        <v>6412.5</v>
      </c>
      <c r="Q328" s="100" t="s">
        <v>408</v>
      </c>
      <c r="R328" s="100" t="s">
        <v>384</v>
      </c>
      <c r="S328" s="105"/>
      <c r="T328" s="105"/>
      <c r="U328" s="105"/>
      <c r="V328" s="105"/>
      <c r="W328" s="104" t="n">
        <v>3412.5</v>
      </c>
      <c r="X328" s="104"/>
      <c r="Y328" s="104" t="n">
        <v>3000</v>
      </c>
      <c r="Z328" s="105"/>
      <c r="AA328" s="105"/>
      <c r="AB328" s="83"/>
      <c r="AG328" s="8"/>
    </row>
    <row r="329" customFormat="false" ht="15.75" hidden="false" customHeight="true" outlineLevel="0" collapsed="false">
      <c r="A329" s="112" t="n">
        <v>45434</v>
      </c>
      <c r="B329" s="123" t="s">
        <v>446</v>
      </c>
      <c r="C329" s="100" t="s">
        <v>447</v>
      </c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17"/>
      <c r="P329" s="124" t="n">
        <v>1500</v>
      </c>
      <c r="Q329" s="100" t="s">
        <v>408</v>
      </c>
      <c r="R329" s="100" t="s">
        <v>410</v>
      </c>
      <c r="S329" s="105"/>
      <c r="T329" s="105"/>
      <c r="U329" s="105"/>
      <c r="V329" s="105"/>
      <c r="W329" s="105"/>
      <c r="X329" s="105"/>
      <c r="Y329" s="104" t="n">
        <v>1500</v>
      </c>
      <c r="Z329" s="105"/>
      <c r="AA329" s="105"/>
      <c r="AB329" s="83"/>
      <c r="AG329" s="8"/>
    </row>
    <row r="330" customFormat="false" ht="15.75" hidden="false" customHeight="true" outlineLevel="0" collapsed="false">
      <c r="A330" s="112" t="n">
        <v>45442</v>
      </c>
      <c r="B330" s="123" t="s">
        <v>448</v>
      </c>
      <c r="C330" s="100" t="s">
        <v>449</v>
      </c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17"/>
      <c r="P330" s="124" t="n">
        <v>2195</v>
      </c>
      <c r="Q330" s="100" t="s">
        <v>408</v>
      </c>
      <c r="R330" s="100" t="s">
        <v>450</v>
      </c>
      <c r="S330" s="105"/>
      <c r="T330" s="104" t="n">
        <v>2195</v>
      </c>
      <c r="U330" s="104"/>
      <c r="V330" s="105"/>
      <c r="W330" s="105"/>
      <c r="X330" s="105"/>
      <c r="Y330" s="105"/>
      <c r="Z330" s="105"/>
      <c r="AA330" s="105"/>
      <c r="AB330" s="83"/>
      <c r="AG330" s="8"/>
    </row>
    <row r="331" customFormat="false" ht="15.75" hidden="false" customHeight="true" outlineLevel="0" collapsed="false">
      <c r="A331" s="112" t="n">
        <v>45468</v>
      </c>
      <c r="B331" s="123" t="s">
        <v>451</v>
      </c>
      <c r="C331" s="100" t="s">
        <v>426</v>
      </c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17"/>
      <c r="P331" s="124" t="n">
        <v>864</v>
      </c>
      <c r="Q331" s="100" t="s">
        <v>408</v>
      </c>
      <c r="R331" s="100" t="s">
        <v>416</v>
      </c>
      <c r="S331" s="105"/>
      <c r="T331" s="105"/>
      <c r="U331" s="105"/>
      <c r="V331" s="105"/>
      <c r="W331" s="105"/>
      <c r="X331" s="105"/>
      <c r="Y331" s="105"/>
      <c r="Z331" s="104" t="n">
        <v>864</v>
      </c>
      <c r="AA331" s="104"/>
      <c r="AB331" s="126"/>
      <c r="AG331" s="8"/>
    </row>
    <row r="332" customFormat="false" ht="15.75" hidden="false" customHeight="true" outlineLevel="0" collapsed="false">
      <c r="A332" s="112" t="n">
        <v>45471</v>
      </c>
      <c r="B332" s="123" t="s">
        <v>452</v>
      </c>
      <c r="C332" s="100" t="s">
        <v>453</v>
      </c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17"/>
      <c r="P332" s="124" t="n">
        <v>6000</v>
      </c>
      <c r="Q332" s="100" t="s">
        <v>270</v>
      </c>
      <c r="R332" s="100" t="s">
        <v>435</v>
      </c>
      <c r="S332" s="105"/>
      <c r="T332" s="104" t="n">
        <v>4500</v>
      </c>
      <c r="U332" s="104"/>
      <c r="V332" s="105"/>
      <c r="W332" s="105"/>
      <c r="X332" s="105"/>
      <c r="Y332" s="104" t="n">
        <v>1500</v>
      </c>
      <c r="Z332" s="105"/>
      <c r="AA332" s="105"/>
      <c r="AB332" s="83"/>
      <c r="AG332" s="8"/>
    </row>
    <row r="333" customFormat="false" ht="15.75" hidden="false" customHeight="true" outlineLevel="0" collapsed="false">
      <c r="A333" s="116"/>
      <c r="B333" s="123"/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17"/>
      <c r="P333" s="127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  <c r="AA333" s="105"/>
      <c r="AB333" s="83"/>
      <c r="AG333" s="8"/>
    </row>
    <row r="334" customFormat="false" ht="15.75" hidden="false" customHeight="true" outlineLevel="0" collapsed="false">
      <c r="A334" s="116"/>
      <c r="B334" s="123"/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17"/>
      <c r="P334" s="127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  <c r="AA334" s="105"/>
      <c r="AB334" s="83"/>
      <c r="AG334" s="8"/>
    </row>
    <row r="335" customFormat="false" ht="15.75" hidden="false" customHeight="true" outlineLevel="0" collapsed="false">
      <c r="A335" s="116"/>
      <c r="B335" s="123"/>
      <c r="C335" s="105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17"/>
      <c r="P335" s="127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  <c r="AA335" s="105"/>
      <c r="AB335" s="83"/>
      <c r="AG335" s="8"/>
    </row>
    <row r="336" customFormat="false" ht="15.75" hidden="false" customHeight="true" outlineLevel="0" collapsed="false">
      <c r="A336" s="116"/>
      <c r="B336" s="123"/>
      <c r="C336" s="105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17"/>
      <c r="P336" s="127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  <c r="AA336" s="105"/>
      <c r="AB336" s="83"/>
      <c r="AG336" s="8"/>
    </row>
    <row r="337" customFormat="false" ht="15.75" hidden="false" customHeight="true" outlineLevel="0" collapsed="false">
      <c r="A337" s="116"/>
      <c r="B337" s="123"/>
      <c r="C337" s="105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17"/>
      <c r="P337" s="105"/>
      <c r="Q337" s="105"/>
      <c r="R337" s="105"/>
      <c r="Y337" s="90"/>
      <c r="AG337" s="8"/>
    </row>
    <row r="338" customFormat="false" ht="14.25" hidden="false" customHeight="true" outlineLevel="0" collapsed="false">
      <c r="A338" s="2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Y338" s="90"/>
      <c r="AG338" s="8"/>
    </row>
    <row r="339" customFormat="false" ht="15.75" hidden="false" customHeight="true" outlineLevel="0" collapsed="false">
      <c r="A339" s="128"/>
      <c r="B339" s="129"/>
      <c r="C339" s="7"/>
      <c r="D339" s="7"/>
      <c r="E339" s="7"/>
      <c r="F339" s="7"/>
      <c r="G339" s="2"/>
      <c r="H339" s="2"/>
      <c r="I339" s="2"/>
      <c r="J339" s="2"/>
      <c r="K339" s="2"/>
      <c r="L339" s="2"/>
      <c r="M339" s="2"/>
      <c r="N339" s="2"/>
      <c r="O339" s="7"/>
      <c r="P339" s="7"/>
      <c r="Q339" s="7"/>
      <c r="R339" s="7"/>
      <c r="Y339" s="90"/>
      <c r="AG339" s="8"/>
    </row>
    <row r="340" customFormat="false" ht="15.75" hidden="false" customHeight="true" outlineLevel="0" collapsed="false">
      <c r="A340" s="2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Y340" s="90"/>
      <c r="AG340" s="8"/>
    </row>
    <row r="341" customFormat="false" ht="15.75" hidden="false" customHeight="true" outlineLevel="0" collapsed="false">
      <c r="A341" s="2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118"/>
      <c r="P341" s="118"/>
      <c r="Q341" s="118"/>
      <c r="R341" s="118"/>
      <c r="Y341" s="90"/>
      <c r="AG341" s="8"/>
    </row>
    <row r="342" customFormat="false" ht="15.75" hidden="false" customHeight="true" outlineLevel="0" collapsed="false">
      <c r="A342" s="111" t="n">
        <v>2022</v>
      </c>
      <c r="B342" s="91" t="s">
        <v>261</v>
      </c>
      <c r="C342" s="92"/>
      <c r="D342" s="92"/>
      <c r="E342" s="92"/>
      <c r="F342" s="92"/>
      <c r="G342" s="92"/>
      <c r="H342" s="92"/>
      <c r="I342" s="92"/>
      <c r="J342" s="92"/>
      <c r="K342" s="92"/>
      <c r="L342" s="92"/>
      <c r="M342" s="92"/>
      <c r="N342" s="94" t="n">
        <v>2022</v>
      </c>
      <c r="O342" s="95" t="s">
        <v>262</v>
      </c>
      <c r="P342" s="96" t="n">
        <f aca="false">SUM(P343:P369)</f>
        <v>74853.04</v>
      </c>
      <c r="Q342" s="97" t="s">
        <v>263</v>
      </c>
      <c r="R342" s="130"/>
      <c r="Y342" s="90"/>
      <c r="AG342" s="8"/>
    </row>
    <row r="343" customFormat="false" ht="15.75" hidden="false" customHeight="true" outlineLevel="0" collapsed="false">
      <c r="A343" s="112" t="n">
        <v>45351</v>
      </c>
      <c r="B343" s="123" t="s">
        <v>454</v>
      </c>
      <c r="C343" s="100" t="s">
        <v>424</v>
      </c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17"/>
      <c r="P343" s="101" t="n">
        <v>800</v>
      </c>
      <c r="Q343" s="102" t="s">
        <v>408</v>
      </c>
      <c r="R343" s="127"/>
      <c r="Y343" s="90"/>
      <c r="AG343" s="8"/>
    </row>
    <row r="344" customFormat="false" ht="15.75" hidden="false" customHeight="true" outlineLevel="0" collapsed="false">
      <c r="A344" s="112" t="n">
        <v>45351</v>
      </c>
      <c r="B344" s="123" t="s">
        <v>455</v>
      </c>
      <c r="C344" s="100" t="s">
        <v>424</v>
      </c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17"/>
      <c r="P344" s="101" t="n">
        <v>178</v>
      </c>
      <c r="Q344" s="102" t="s">
        <v>408</v>
      </c>
      <c r="R344" s="127"/>
      <c r="Y344" s="90"/>
      <c r="AG344" s="8"/>
    </row>
    <row r="345" customFormat="false" ht="15.75" hidden="false" customHeight="true" outlineLevel="0" collapsed="false">
      <c r="A345" s="112" t="n">
        <v>45351</v>
      </c>
      <c r="B345" s="123" t="s">
        <v>455</v>
      </c>
      <c r="C345" s="100" t="s">
        <v>424</v>
      </c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17"/>
      <c r="P345" s="101" t="n">
        <v>200</v>
      </c>
      <c r="Q345" s="102" t="s">
        <v>408</v>
      </c>
      <c r="R345" s="127"/>
      <c r="Y345" s="90"/>
      <c r="AG345" s="8"/>
    </row>
    <row r="346" customFormat="false" ht="15.75" hidden="false" customHeight="true" outlineLevel="0" collapsed="false">
      <c r="A346" s="112" t="n">
        <v>45351</v>
      </c>
      <c r="B346" s="123" t="s">
        <v>456</v>
      </c>
      <c r="C346" s="100" t="s">
        <v>457</v>
      </c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17"/>
      <c r="P346" s="101" t="n">
        <v>2150</v>
      </c>
      <c r="Q346" s="102" t="s">
        <v>458</v>
      </c>
      <c r="R346" s="83"/>
      <c r="Y346" s="90"/>
      <c r="AG346" s="8"/>
    </row>
    <row r="347" customFormat="false" ht="15.75" hidden="false" customHeight="true" outlineLevel="0" collapsed="false">
      <c r="A347" s="112" t="n">
        <v>45351</v>
      </c>
      <c r="B347" s="123" t="s">
        <v>459</v>
      </c>
      <c r="C347" s="100" t="s">
        <v>457</v>
      </c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17"/>
      <c r="P347" s="101" t="n">
        <v>6300</v>
      </c>
      <c r="Q347" s="102" t="s">
        <v>458</v>
      </c>
      <c r="R347" s="83"/>
      <c r="Y347" s="90"/>
      <c r="AG347" s="8"/>
    </row>
    <row r="348" customFormat="false" ht="15.75" hidden="false" customHeight="true" outlineLevel="0" collapsed="false">
      <c r="A348" s="112" t="n">
        <v>45351</v>
      </c>
      <c r="B348" s="123" t="s">
        <v>460</v>
      </c>
      <c r="C348" s="100" t="s">
        <v>457</v>
      </c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17"/>
      <c r="P348" s="101" t="n">
        <v>6000</v>
      </c>
      <c r="Q348" s="102" t="s">
        <v>458</v>
      </c>
      <c r="R348" s="127"/>
      <c r="Y348" s="90"/>
      <c r="AG348" s="8"/>
    </row>
    <row r="349" customFormat="false" ht="15.75" hidden="false" customHeight="true" outlineLevel="0" collapsed="false">
      <c r="A349" s="112" t="n">
        <v>45370</v>
      </c>
      <c r="B349" s="123" t="s">
        <v>461</v>
      </c>
      <c r="C349" s="100" t="s">
        <v>462</v>
      </c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17"/>
      <c r="P349" s="101" t="n">
        <v>4875</v>
      </c>
      <c r="Q349" s="102" t="s">
        <v>408</v>
      </c>
      <c r="R349" s="127"/>
      <c r="Y349" s="90"/>
      <c r="AG349" s="8"/>
    </row>
    <row r="350" customFormat="false" ht="15.75" hidden="false" customHeight="true" outlineLevel="0" collapsed="false">
      <c r="A350" s="112" t="n">
        <v>45372</v>
      </c>
      <c r="B350" s="123" t="s">
        <v>463</v>
      </c>
      <c r="C350" s="100" t="s">
        <v>464</v>
      </c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17"/>
      <c r="P350" s="101" t="n">
        <v>4133.34</v>
      </c>
      <c r="Q350" s="102" t="s">
        <v>408</v>
      </c>
      <c r="R350" s="127"/>
      <c r="Y350" s="90"/>
      <c r="AG350" s="8"/>
    </row>
    <row r="351" customFormat="false" ht="15.75" hidden="false" customHeight="true" outlineLevel="0" collapsed="false">
      <c r="A351" s="112" t="n">
        <v>45372</v>
      </c>
      <c r="B351" s="123" t="s">
        <v>465</v>
      </c>
      <c r="C351" s="100" t="s">
        <v>464</v>
      </c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17"/>
      <c r="P351" s="101" t="n">
        <v>2666.7</v>
      </c>
      <c r="Q351" s="102" t="s">
        <v>312</v>
      </c>
      <c r="R351" s="127"/>
      <c r="Y351" s="90"/>
      <c r="AG351" s="8"/>
    </row>
    <row r="352" customFormat="false" ht="15.75" hidden="false" customHeight="true" outlineLevel="0" collapsed="false">
      <c r="A352" s="112" t="n">
        <v>45370</v>
      </c>
      <c r="B352" s="123" t="s">
        <v>466</v>
      </c>
      <c r="C352" s="100" t="s">
        <v>467</v>
      </c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17"/>
      <c r="P352" s="101" t="n">
        <v>2800</v>
      </c>
      <c r="Q352" s="102" t="s">
        <v>312</v>
      </c>
      <c r="R352" s="103" t="s">
        <v>468</v>
      </c>
      <c r="Y352" s="90"/>
      <c r="AG352" s="8"/>
    </row>
    <row r="353" customFormat="false" ht="15.75" hidden="false" customHeight="true" outlineLevel="0" collapsed="false">
      <c r="A353" s="112" t="n">
        <v>45380</v>
      </c>
      <c r="B353" s="123" t="s">
        <v>469</v>
      </c>
      <c r="C353" s="100" t="s">
        <v>424</v>
      </c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17"/>
      <c r="P353" s="101" t="n">
        <v>2300</v>
      </c>
      <c r="Q353" s="102" t="s">
        <v>408</v>
      </c>
      <c r="R353" s="127"/>
      <c r="Y353" s="90"/>
      <c r="AG353" s="8"/>
    </row>
    <row r="354" customFormat="false" ht="15.75" hidden="false" customHeight="true" outlineLevel="0" collapsed="false">
      <c r="A354" s="112" t="n">
        <v>45380</v>
      </c>
      <c r="B354" s="123" t="s">
        <v>470</v>
      </c>
      <c r="C354" s="100" t="s">
        <v>471</v>
      </c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17"/>
      <c r="P354" s="101" t="n">
        <v>4100</v>
      </c>
      <c r="Q354" s="102" t="s">
        <v>408</v>
      </c>
      <c r="R354" s="127"/>
      <c r="Y354" s="90"/>
      <c r="AG354" s="8"/>
    </row>
    <row r="355" customFormat="false" ht="15.75" hidden="false" customHeight="true" outlineLevel="0" collapsed="false">
      <c r="A355" s="112" t="n">
        <v>45380</v>
      </c>
      <c r="B355" s="123" t="s">
        <v>472</v>
      </c>
      <c r="C355" s="100" t="s">
        <v>424</v>
      </c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17"/>
      <c r="P355" s="101" t="n">
        <v>3000</v>
      </c>
      <c r="Q355" s="102" t="s">
        <v>408</v>
      </c>
      <c r="R355" s="127"/>
      <c r="Y355" s="90"/>
      <c r="AG355" s="8"/>
    </row>
    <row r="356" customFormat="false" ht="15.75" hidden="false" customHeight="true" outlineLevel="0" collapsed="false">
      <c r="A356" s="112" t="n">
        <v>45380</v>
      </c>
      <c r="B356" s="123" t="s">
        <v>473</v>
      </c>
      <c r="C356" s="100" t="s">
        <v>457</v>
      </c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17"/>
      <c r="P356" s="101" t="n">
        <v>1000</v>
      </c>
      <c r="Q356" s="102" t="s">
        <v>458</v>
      </c>
      <c r="R356" s="127"/>
      <c r="Y356" s="90"/>
      <c r="AG356" s="8"/>
    </row>
    <row r="357" customFormat="false" ht="15.75" hidden="false" customHeight="true" outlineLevel="0" collapsed="false">
      <c r="A357" s="112" t="n">
        <v>45380</v>
      </c>
      <c r="B357" s="123" t="s">
        <v>474</v>
      </c>
      <c r="C357" s="100" t="s">
        <v>457</v>
      </c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17"/>
      <c r="P357" s="101" t="n">
        <v>200</v>
      </c>
      <c r="Q357" s="102" t="s">
        <v>458</v>
      </c>
      <c r="R357" s="127"/>
      <c r="Y357" s="90"/>
      <c r="AG357" s="8"/>
    </row>
    <row r="358" customFormat="false" ht="15.75" hidden="false" customHeight="true" outlineLevel="0" collapsed="false">
      <c r="A358" s="112" t="n">
        <v>45412</v>
      </c>
      <c r="B358" s="123" t="s">
        <v>475</v>
      </c>
      <c r="C358" s="100" t="s">
        <v>476</v>
      </c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17"/>
      <c r="P358" s="101" t="n">
        <v>1500</v>
      </c>
      <c r="Q358" s="102" t="s">
        <v>408</v>
      </c>
      <c r="R358" s="127"/>
      <c r="Y358" s="90"/>
      <c r="AG358" s="8"/>
    </row>
    <row r="359" customFormat="false" ht="15.75" hidden="false" customHeight="true" outlineLevel="0" collapsed="false">
      <c r="A359" s="112" t="n">
        <v>45412</v>
      </c>
      <c r="B359" s="123" t="s">
        <v>477</v>
      </c>
      <c r="C359" s="100" t="s">
        <v>478</v>
      </c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17"/>
      <c r="P359" s="101" t="n">
        <v>4500</v>
      </c>
      <c r="Q359" s="102" t="s">
        <v>408</v>
      </c>
      <c r="R359" s="127"/>
      <c r="Y359" s="90"/>
      <c r="AG359" s="8"/>
    </row>
    <row r="360" customFormat="false" ht="15.75" hidden="false" customHeight="true" outlineLevel="0" collapsed="false">
      <c r="A360" s="112" t="n">
        <v>45471</v>
      </c>
      <c r="B360" s="123" t="s">
        <v>479</v>
      </c>
      <c r="C360" s="100" t="s">
        <v>457</v>
      </c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17"/>
      <c r="P360" s="101" t="n">
        <v>6000</v>
      </c>
      <c r="Q360" s="102" t="s">
        <v>458</v>
      </c>
      <c r="R360" s="127"/>
      <c r="Y360" s="90"/>
      <c r="AG360" s="8"/>
    </row>
    <row r="361" customFormat="false" ht="15.75" hidden="false" customHeight="true" outlineLevel="0" collapsed="false">
      <c r="A361" s="112" t="n">
        <v>45471</v>
      </c>
      <c r="B361" s="123" t="s">
        <v>480</v>
      </c>
      <c r="C361" s="100" t="s">
        <v>457</v>
      </c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17"/>
      <c r="P361" s="101" t="n">
        <v>5500</v>
      </c>
      <c r="Q361" s="102" t="s">
        <v>458</v>
      </c>
      <c r="R361" s="127"/>
      <c r="Y361" s="90"/>
      <c r="AG361" s="8"/>
    </row>
    <row r="362" customFormat="false" ht="15.75" hidden="false" customHeight="true" outlineLevel="0" collapsed="false">
      <c r="A362" s="112" t="n">
        <v>45471</v>
      </c>
      <c r="B362" s="123" t="s">
        <v>481</v>
      </c>
      <c r="C362" s="100" t="s">
        <v>482</v>
      </c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17"/>
      <c r="P362" s="101" t="n">
        <v>3500</v>
      </c>
      <c r="Q362" s="102" t="s">
        <v>408</v>
      </c>
      <c r="R362" s="127"/>
      <c r="Y362" s="90"/>
      <c r="AG362" s="8"/>
    </row>
    <row r="363" customFormat="false" ht="15.75" hidden="false" customHeight="true" outlineLevel="0" collapsed="false">
      <c r="A363" s="112" t="n">
        <v>45471</v>
      </c>
      <c r="B363" s="123" t="s">
        <v>483</v>
      </c>
      <c r="C363" s="100" t="s">
        <v>484</v>
      </c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17"/>
      <c r="P363" s="101" t="n">
        <v>2750</v>
      </c>
      <c r="Q363" s="102" t="s">
        <v>408</v>
      </c>
      <c r="R363" s="127"/>
      <c r="Y363" s="90"/>
      <c r="AG363" s="8"/>
    </row>
    <row r="364" customFormat="false" ht="15.75" hidden="false" customHeight="true" outlineLevel="0" collapsed="false">
      <c r="A364" s="112" t="n">
        <v>45471</v>
      </c>
      <c r="B364" s="123" t="s">
        <v>485</v>
      </c>
      <c r="C364" s="100" t="s">
        <v>486</v>
      </c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17"/>
      <c r="P364" s="101" t="n">
        <v>3500</v>
      </c>
      <c r="Q364" s="102" t="s">
        <v>408</v>
      </c>
      <c r="R364" s="127"/>
      <c r="Y364" s="90"/>
      <c r="AG364" s="8"/>
    </row>
    <row r="365" customFormat="false" ht="15.75" hidden="false" customHeight="true" outlineLevel="0" collapsed="false">
      <c r="A365" s="112" t="n">
        <v>45471</v>
      </c>
      <c r="B365" s="123" t="s">
        <v>487</v>
      </c>
      <c r="C365" s="100" t="s">
        <v>488</v>
      </c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17"/>
      <c r="P365" s="101" t="n">
        <v>6900</v>
      </c>
      <c r="Q365" s="102" t="s">
        <v>458</v>
      </c>
      <c r="R365" s="127"/>
      <c r="Y365" s="90"/>
      <c r="AG365" s="8"/>
    </row>
    <row r="366" customFormat="false" ht="15.75" hidden="false" customHeight="true" outlineLevel="0" collapsed="false">
      <c r="A366" s="116"/>
      <c r="B366" s="123"/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17"/>
      <c r="P366" s="83"/>
      <c r="Q366" s="83"/>
      <c r="R366" s="127"/>
      <c r="Y366" s="90"/>
      <c r="AG366" s="8"/>
    </row>
    <row r="367" customFormat="false" ht="15.75" hidden="false" customHeight="true" outlineLevel="0" collapsed="false">
      <c r="A367" s="116"/>
      <c r="B367" s="123"/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17"/>
      <c r="P367" s="83"/>
      <c r="Q367" s="83"/>
      <c r="R367" s="127"/>
      <c r="Y367" s="90"/>
      <c r="AG367" s="8"/>
    </row>
    <row r="368" customFormat="false" ht="15.75" hidden="false" customHeight="true" outlineLevel="0" collapsed="false">
      <c r="A368" s="116"/>
      <c r="B368" s="123"/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17"/>
      <c r="P368" s="83"/>
      <c r="Q368" s="83"/>
      <c r="R368" s="127"/>
      <c r="Y368" s="90"/>
      <c r="AG368" s="8"/>
    </row>
    <row r="369" customFormat="false" ht="15.75" hidden="false" customHeight="true" outlineLevel="0" collapsed="false">
      <c r="A369" s="116"/>
      <c r="B369" s="123"/>
      <c r="C369" s="105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17"/>
      <c r="P369" s="117"/>
      <c r="Q369" s="117"/>
      <c r="R369" s="105"/>
      <c r="Y369" s="90"/>
      <c r="AG369" s="8"/>
    </row>
    <row r="370" customFormat="false" ht="15.75" hidden="false" customHeight="true" outlineLevel="0" collapsed="false">
      <c r="A370" s="128"/>
      <c r="B370" s="129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Y370" s="90"/>
      <c r="AG370" s="8"/>
    </row>
    <row r="371" customFormat="false" ht="15.75" hidden="false" customHeight="true" outlineLevel="0" collapsed="false">
      <c r="A371" s="128"/>
      <c r="B371" s="129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Y371" s="90"/>
      <c r="AG371" s="8"/>
    </row>
    <row r="372" customFormat="false" ht="15.75" hidden="false" customHeight="true" outlineLevel="0" collapsed="false">
      <c r="A372" s="13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118"/>
      <c r="P372" s="118"/>
      <c r="Q372" s="118"/>
      <c r="R372" s="118"/>
      <c r="Y372" s="90"/>
      <c r="AG372" s="8"/>
    </row>
    <row r="373" customFormat="false" ht="15.75" hidden="false" customHeight="true" outlineLevel="0" collapsed="false">
      <c r="A373" s="111" t="n">
        <v>2021</v>
      </c>
      <c r="B373" s="91" t="s">
        <v>261</v>
      </c>
      <c r="C373" s="92"/>
      <c r="D373" s="92"/>
      <c r="E373" s="92"/>
      <c r="F373" s="92"/>
      <c r="G373" s="92"/>
      <c r="H373" s="92"/>
      <c r="I373" s="92"/>
      <c r="J373" s="92"/>
      <c r="K373" s="92"/>
      <c r="L373" s="92"/>
      <c r="M373" s="92"/>
      <c r="N373" s="94" t="n">
        <v>2021</v>
      </c>
      <c r="O373" s="95" t="s">
        <v>262</v>
      </c>
      <c r="P373" s="96" t="n">
        <f aca="false">SUM(P374:P390)</f>
        <v>40825</v>
      </c>
      <c r="Q373" s="97" t="s">
        <v>263</v>
      </c>
      <c r="R373" s="130"/>
      <c r="Y373" s="90"/>
      <c r="AG373" s="8"/>
    </row>
    <row r="374" customFormat="false" ht="15.75" hidden="false" customHeight="true" outlineLevel="0" collapsed="false">
      <c r="A374" s="132" t="n">
        <v>45330</v>
      </c>
      <c r="B374" s="123" t="s">
        <v>489</v>
      </c>
      <c r="C374" s="100" t="s">
        <v>490</v>
      </c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83"/>
      <c r="P374" s="101" t="n">
        <v>1800</v>
      </c>
      <c r="Q374" s="102" t="s">
        <v>458</v>
      </c>
      <c r="R374" s="127"/>
      <c r="Y374" s="90"/>
      <c r="AG374" s="8"/>
    </row>
    <row r="375" customFormat="false" ht="15.75" hidden="false" customHeight="true" outlineLevel="0" collapsed="false">
      <c r="A375" s="132" t="n">
        <v>45351</v>
      </c>
      <c r="B375" s="123" t="s">
        <v>491</v>
      </c>
      <c r="C375" s="100" t="s">
        <v>424</v>
      </c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83"/>
      <c r="P375" s="101" t="n">
        <v>3600</v>
      </c>
      <c r="Q375" s="102" t="s">
        <v>408</v>
      </c>
      <c r="R375" s="83"/>
      <c r="Y375" s="90"/>
      <c r="AG375" s="8"/>
    </row>
    <row r="376" customFormat="false" ht="15.75" hidden="false" customHeight="true" outlineLevel="0" collapsed="false">
      <c r="A376" s="132" t="n">
        <v>45351</v>
      </c>
      <c r="B376" s="123" t="s">
        <v>492</v>
      </c>
      <c r="C376" s="100" t="s">
        <v>424</v>
      </c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83"/>
      <c r="P376" s="101" t="n">
        <v>2000</v>
      </c>
      <c r="Q376" s="102" t="s">
        <v>408</v>
      </c>
      <c r="R376" s="83"/>
      <c r="Y376" s="90"/>
      <c r="AG376" s="8"/>
    </row>
    <row r="377" customFormat="false" ht="15.75" hidden="false" customHeight="true" outlineLevel="0" collapsed="false">
      <c r="A377" s="132" t="n">
        <v>45351</v>
      </c>
      <c r="B377" s="123" t="s">
        <v>493</v>
      </c>
      <c r="C377" s="100" t="s">
        <v>457</v>
      </c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83"/>
      <c r="P377" s="101" t="n">
        <v>1500</v>
      </c>
      <c r="Q377" s="102" t="s">
        <v>458</v>
      </c>
      <c r="R377" s="127"/>
      <c r="Y377" s="90"/>
      <c r="AG377" s="8"/>
    </row>
    <row r="378" customFormat="false" ht="15.75" hidden="false" customHeight="true" outlineLevel="0" collapsed="false">
      <c r="A378" s="132" t="n">
        <v>45351</v>
      </c>
      <c r="B378" s="123" t="s">
        <v>494</v>
      </c>
      <c r="C378" s="100" t="s">
        <v>457</v>
      </c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83"/>
      <c r="P378" s="101" t="n">
        <v>1500</v>
      </c>
      <c r="Q378" s="102" t="s">
        <v>458</v>
      </c>
      <c r="R378" s="127"/>
      <c r="Y378" s="90"/>
      <c r="AG378" s="8"/>
    </row>
    <row r="379" customFormat="false" ht="15.75" hidden="false" customHeight="true" outlineLevel="0" collapsed="false">
      <c r="A379" s="132" t="n">
        <v>45351</v>
      </c>
      <c r="B379" s="123" t="s">
        <v>495</v>
      </c>
      <c r="C379" s="100" t="s">
        <v>424</v>
      </c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83"/>
      <c r="P379" s="101" t="n">
        <v>3500</v>
      </c>
      <c r="Q379" s="102" t="s">
        <v>408</v>
      </c>
      <c r="R379" s="127"/>
      <c r="Y379" s="90"/>
      <c r="AG379" s="8"/>
    </row>
    <row r="380" customFormat="false" ht="15.75" hidden="false" customHeight="true" outlineLevel="0" collapsed="false">
      <c r="A380" s="132" t="n">
        <v>45380</v>
      </c>
      <c r="B380" s="123" t="s">
        <v>496</v>
      </c>
      <c r="C380" s="100" t="s">
        <v>424</v>
      </c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83"/>
      <c r="P380" s="101" t="n">
        <v>1595</v>
      </c>
      <c r="Q380" s="102" t="s">
        <v>408</v>
      </c>
      <c r="R380" s="127"/>
      <c r="Y380" s="90"/>
      <c r="AG380" s="8"/>
    </row>
    <row r="381" customFormat="false" ht="15.75" hidden="false" customHeight="true" outlineLevel="0" collapsed="false">
      <c r="A381" s="132" t="n">
        <v>45380</v>
      </c>
      <c r="B381" s="123" t="s">
        <v>497</v>
      </c>
      <c r="C381" s="100" t="s">
        <v>424</v>
      </c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83"/>
      <c r="P381" s="101" t="n">
        <v>2000</v>
      </c>
      <c r="Q381" s="102" t="s">
        <v>408</v>
      </c>
      <c r="R381" s="127"/>
      <c r="Y381" s="90"/>
      <c r="AG381" s="8"/>
    </row>
    <row r="382" customFormat="false" ht="15.75" hidden="false" customHeight="true" outlineLevel="0" collapsed="false">
      <c r="A382" s="132" t="n">
        <v>45412</v>
      </c>
      <c r="B382" s="123" t="s">
        <v>498</v>
      </c>
      <c r="C382" s="100" t="s">
        <v>424</v>
      </c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83"/>
      <c r="P382" s="101" t="n">
        <v>2950</v>
      </c>
      <c r="Q382" s="102" t="s">
        <v>408</v>
      </c>
      <c r="R382" s="127"/>
      <c r="Y382" s="90"/>
      <c r="AG382" s="8"/>
    </row>
    <row r="383" customFormat="false" ht="15.75" hidden="false" customHeight="true" outlineLevel="0" collapsed="false">
      <c r="A383" s="132" t="n">
        <v>45412</v>
      </c>
      <c r="B383" s="123" t="s">
        <v>499</v>
      </c>
      <c r="C383" s="100" t="s">
        <v>457</v>
      </c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83"/>
      <c r="P383" s="101" t="n">
        <v>1500</v>
      </c>
      <c r="Q383" s="102" t="s">
        <v>458</v>
      </c>
      <c r="R383" s="127"/>
      <c r="Y383" s="90"/>
      <c r="AG383" s="8"/>
    </row>
    <row r="384" customFormat="false" ht="15.75" hidden="false" customHeight="true" outlineLevel="0" collapsed="false">
      <c r="A384" s="132" t="n">
        <v>45422</v>
      </c>
      <c r="B384" s="123" t="s">
        <v>500</v>
      </c>
      <c r="C384" s="100" t="s">
        <v>501</v>
      </c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83"/>
      <c r="P384" s="101" t="n">
        <v>1080</v>
      </c>
      <c r="Q384" s="102" t="s">
        <v>408</v>
      </c>
      <c r="R384" s="127"/>
      <c r="Y384" s="90"/>
      <c r="AG384" s="8"/>
    </row>
    <row r="385" customFormat="false" ht="15.75" hidden="false" customHeight="true" outlineLevel="0" collapsed="false">
      <c r="A385" s="132" t="n">
        <v>45443</v>
      </c>
      <c r="B385" s="123" t="s">
        <v>502</v>
      </c>
      <c r="C385" s="100" t="s">
        <v>503</v>
      </c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83"/>
      <c r="P385" s="101" t="n">
        <v>3000</v>
      </c>
      <c r="Q385" s="102" t="s">
        <v>408</v>
      </c>
      <c r="R385" s="127"/>
      <c r="Y385" s="90"/>
      <c r="AG385" s="8"/>
    </row>
    <row r="386" customFormat="false" ht="15.75" hidden="false" customHeight="true" outlineLevel="0" collapsed="false">
      <c r="A386" s="132" t="n">
        <v>45443</v>
      </c>
      <c r="B386" s="123" t="s">
        <v>504</v>
      </c>
      <c r="C386" s="100" t="s">
        <v>505</v>
      </c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83"/>
      <c r="P386" s="101" t="n">
        <v>200</v>
      </c>
      <c r="Q386" s="102" t="s">
        <v>408</v>
      </c>
      <c r="R386" s="127" t="s">
        <v>506</v>
      </c>
      <c r="Y386" s="90"/>
      <c r="AG386" s="8"/>
    </row>
    <row r="387" customFormat="false" ht="15.75" hidden="false" customHeight="true" outlineLevel="0" collapsed="false">
      <c r="A387" s="132" t="n">
        <v>45471</v>
      </c>
      <c r="B387" s="123" t="s">
        <v>507</v>
      </c>
      <c r="C387" s="100" t="s">
        <v>424</v>
      </c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83"/>
      <c r="P387" s="101" t="n">
        <v>3600</v>
      </c>
      <c r="Q387" s="102" t="s">
        <v>408</v>
      </c>
      <c r="R387" s="127"/>
      <c r="Y387" s="90"/>
      <c r="AG387" s="8"/>
    </row>
    <row r="388" customFormat="false" ht="15.75" hidden="false" customHeight="true" outlineLevel="0" collapsed="false">
      <c r="A388" s="133" t="n">
        <v>45471</v>
      </c>
      <c r="B388" s="134" t="s">
        <v>508</v>
      </c>
      <c r="C388" s="135" t="s">
        <v>424</v>
      </c>
      <c r="D388" s="135"/>
      <c r="E388" s="135"/>
      <c r="F388" s="135"/>
      <c r="G388" s="135"/>
      <c r="H388" s="135"/>
      <c r="I388" s="135"/>
      <c r="J388" s="135"/>
      <c r="K388" s="135"/>
      <c r="L388" s="135"/>
      <c r="M388" s="135"/>
      <c r="N388" s="135"/>
      <c r="O388" s="83"/>
      <c r="P388" s="101" t="n">
        <v>5800</v>
      </c>
      <c r="Q388" s="102" t="s">
        <v>408</v>
      </c>
      <c r="R388" s="127" t="s">
        <v>509</v>
      </c>
      <c r="Y388" s="90"/>
      <c r="AG388" s="8"/>
    </row>
    <row r="389" customFormat="false" ht="15.75" hidden="false" customHeight="true" outlineLevel="0" collapsed="false">
      <c r="A389" s="133" t="n">
        <v>45471</v>
      </c>
      <c r="B389" s="134" t="s">
        <v>510</v>
      </c>
      <c r="C389" s="135" t="s">
        <v>511</v>
      </c>
      <c r="D389" s="135"/>
      <c r="E389" s="135"/>
      <c r="F389" s="135"/>
      <c r="G389" s="135"/>
      <c r="H389" s="135"/>
      <c r="I389" s="135"/>
      <c r="J389" s="135"/>
      <c r="K389" s="135"/>
      <c r="L389" s="135"/>
      <c r="M389" s="135"/>
      <c r="N389" s="135"/>
      <c r="O389" s="83"/>
      <c r="P389" s="101" t="n">
        <v>2200</v>
      </c>
      <c r="Q389" s="102" t="s">
        <v>408</v>
      </c>
      <c r="R389" s="127" t="s">
        <v>512</v>
      </c>
      <c r="Y389" s="90"/>
      <c r="AG389" s="8"/>
    </row>
    <row r="390" customFormat="false" ht="15.75" hidden="false" customHeight="true" outlineLevel="0" collapsed="false">
      <c r="A390" s="133" t="n">
        <v>45471</v>
      </c>
      <c r="B390" s="134" t="s">
        <v>513</v>
      </c>
      <c r="C390" s="135" t="s">
        <v>514</v>
      </c>
      <c r="D390" s="135"/>
      <c r="E390" s="135"/>
      <c r="F390" s="135"/>
      <c r="G390" s="135"/>
      <c r="H390" s="135"/>
      <c r="I390" s="135"/>
      <c r="J390" s="135"/>
      <c r="K390" s="135"/>
      <c r="L390" s="135"/>
      <c r="M390" s="135"/>
      <c r="N390" s="135"/>
      <c r="O390" s="83"/>
      <c r="P390" s="101" t="n">
        <v>3000</v>
      </c>
      <c r="Q390" s="102" t="s">
        <v>408</v>
      </c>
      <c r="R390" s="127" t="s">
        <v>515</v>
      </c>
      <c r="Y390" s="90"/>
      <c r="AG390" s="8"/>
    </row>
    <row r="391" customFormat="false" ht="15.75" hidden="false" customHeight="true" outlineLevel="0" collapsed="false">
      <c r="A391" s="131"/>
      <c r="B391" s="129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Y391" s="90"/>
      <c r="AG391" s="8"/>
    </row>
    <row r="392" customFormat="false" ht="15.75" hidden="false" customHeight="true" outlineLevel="0" collapsed="false">
      <c r="A392" s="131"/>
      <c r="B392" s="129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Y392" s="90"/>
      <c r="AG392" s="8"/>
    </row>
    <row r="393" customFormat="false" ht="15.75" hidden="false" customHeight="true" outlineLevel="0" collapsed="false">
      <c r="A393" s="131"/>
      <c r="B393" s="129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136"/>
      <c r="P393" s="136"/>
      <c r="Q393" s="136"/>
      <c r="R393" s="136"/>
      <c r="Y393" s="90"/>
      <c r="AG393" s="8"/>
    </row>
    <row r="394" customFormat="false" ht="15.75" hidden="false" customHeight="true" outlineLevel="0" collapsed="false">
      <c r="A394" s="111" t="n">
        <v>2020</v>
      </c>
      <c r="B394" s="91" t="s">
        <v>261</v>
      </c>
      <c r="C394" s="92"/>
      <c r="D394" s="92"/>
      <c r="E394" s="92"/>
      <c r="F394" s="92"/>
      <c r="G394" s="92"/>
      <c r="H394" s="92"/>
      <c r="I394" s="92"/>
      <c r="J394" s="92"/>
      <c r="K394" s="92"/>
      <c r="L394" s="92"/>
      <c r="M394" s="92"/>
      <c r="N394" s="94" t="n">
        <v>2020</v>
      </c>
      <c r="O394" s="137" t="s">
        <v>262</v>
      </c>
      <c r="P394" s="96" t="n">
        <f aca="false">SUM(P395:P412)</f>
        <v>31516.66</v>
      </c>
      <c r="Q394" s="138" t="s">
        <v>263</v>
      </c>
      <c r="R394" s="139"/>
      <c r="Y394" s="90"/>
      <c r="AG394" s="8"/>
    </row>
    <row r="395" customFormat="false" ht="15.75" hidden="false" customHeight="true" outlineLevel="0" collapsed="false">
      <c r="A395" s="140" t="n">
        <v>45302</v>
      </c>
      <c r="B395" s="125" t="s">
        <v>516</v>
      </c>
      <c r="C395" s="141" t="s">
        <v>517</v>
      </c>
      <c r="D395" s="141"/>
      <c r="E395" s="141"/>
      <c r="F395" s="141"/>
      <c r="G395" s="141"/>
      <c r="H395" s="141"/>
      <c r="I395" s="141"/>
      <c r="J395" s="141"/>
      <c r="K395" s="141"/>
      <c r="L395" s="141"/>
      <c r="M395" s="141"/>
      <c r="N395" s="141"/>
      <c r="O395" s="83"/>
      <c r="P395" s="101" t="n">
        <v>2000</v>
      </c>
      <c r="Q395" s="102" t="s">
        <v>408</v>
      </c>
      <c r="R395" s="127"/>
      <c r="Y395" s="90"/>
      <c r="AG395" s="8"/>
    </row>
    <row r="396" customFormat="false" ht="15.75" hidden="false" customHeight="true" outlineLevel="0" collapsed="false">
      <c r="A396" s="140" t="n">
        <v>45302</v>
      </c>
      <c r="B396" s="123" t="s">
        <v>518</v>
      </c>
      <c r="C396" s="141" t="s">
        <v>457</v>
      </c>
      <c r="D396" s="141"/>
      <c r="E396" s="141"/>
      <c r="F396" s="141"/>
      <c r="G396" s="141"/>
      <c r="H396" s="141"/>
      <c r="I396" s="141"/>
      <c r="J396" s="141"/>
      <c r="K396" s="141"/>
      <c r="L396" s="141"/>
      <c r="M396" s="141"/>
      <c r="N396" s="141"/>
      <c r="O396" s="83"/>
      <c r="P396" s="101" t="n">
        <v>3000</v>
      </c>
      <c r="Q396" s="102" t="s">
        <v>458</v>
      </c>
      <c r="R396" s="127"/>
      <c r="Y396" s="90"/>
      <c r="AG396" s="8"/>
    </row>
    <row r="397" customFormat="false" ht="15.75" hidden="false" customHeight="true" outlineLevel="0" collapsed="false">
      <c r="A397" s="140" t="n">
        <v>45302</v>
      </c>
      <c r="B397" s="123" t="s">
        <v>519</v>
      </c>
      <c r="C397" s="142" t="s">
        <v>457</v>
      </c>
      <c r="D397" s="142"/>
      <c r="E397" s="142"/>
      <c r="F397" s="142"/>
      <c r="G397" s="142"/>
      <c r="H397" s="142"/>
      <c r="I397" s="142"/>
      <c r="J397" s="142"/>
      <c r="K397" s="142"/>
      <c r="L397" s="142"/>
      <c r="M397" s="142"/>
      <c r="N397" s="142"/>
      <c r="O397" s="83"/>
      <c r="P397" s="101" t="n">
        <v>3000</v>
      </c>
      <c r="Q397" s="102" t="s">
        <v>458</v>
      </c>
      <c r="R397" s="127"/>
      <c r="Y397" s="90"/>
      <c r="AG397" s="8"/>
    </row>
    <row r="398" customFormat="false" ht="15.75" hidden="false" customHeight="true" outlineLevel="0" collapsed="false">
      <c r="A398" s="140" t="n">
        <v>45351</v>
      </c>
      <c r="B398" s="123" t="s">
        <v>520</v>
      </c>
      <c r="C398" s="100" t="s">
        <v>424</v>
      </c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83"/>
      <c r="P398" s="101" t="n">
        <v>1500</v>
      </c>
      <c r="Q398" s="102" t="s">
        <v>408</v>
      </c>
      <c r="R398" s="127"/>
      <c r="Y398" s="90"/>
      <c r="AG398" s="8"/>
    </row>
    <row r="399" customFormat="false" ht="15.75" hidden="false" customHeight="true" outlineLevel="0" collapsed="false">
      <c r="A399" s="140" t="n">
        <v>45351</v>
      </c>
      <c r="B399" s="123" t="s">
        <v>521</v>
      </c>
      <c r="C399" s="100" t="s">
        <v>424</v>
      </c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83"/>
      <c r="P399" s="101" t="n">
        <v>5000</v>
      </c>
      <c r="Q399" s="102" t="s">
        <v>408</v>
      </c>
      <c r="R399" s="127"/>
      <c r="Y399" s="90"/>
      <c r="AG399" s="8"/>
    </row>
    <row r="400" customFormat="false" ht="15.75" hidden="false" customHeight="true" outlineLevel="0" collapsed="false">
      <c r="A400" s="140" t="n">
        <v>45351</v>
      </c>
      <c r="B400" s="123" t="s">
        <v>522</v>
      </c>
      <c r="C400" s="100" t="s">
        <v>424</v>
      </c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83"/>
      <c r="P400" s="101" t="n">
        <v>500</v>
      </c>
      <c r="Q400" s="102" t="s">
        <v>408</v>
      </c>
      <c r="R400" s="127"/>
      <c r="Y400" s="90"/>
      <c r="AG400" s="8"/>
    </row>
    <row r="401" customFormat="false" ht="15.75" hidden="false" customHeight="true" outlineLevel="0" collapsed="false">
      <c r="A401" s="140" t="n">
        <v>45351</v>
      </c>
      <c r="B401" s="123" t="s">
        <v>523</v>
      </c>
      <c r="C401" s="100" t="s">
        <v>457</v>
      </c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83"/>
      <c r="P401" s="101" t="n">
        <v>2000</v>
      </c>
      <c r="Q401" s="102" t="s">
        <v>458</v>
      </c>
      <c r="Y401" s="90"/>
      <c r="AG401" s="8"/>
    </row>
    <row r="402" customFormat="false" ht="15.75" hidden="false" customHeight="true" outlineLevel="0" collapsed="false">
      <c r="A402" s="140" t="n">
        <v>45380</v>
      </c>
      <c r="B402" s="125" t="s">
        <v>524</v>
      </c>
      <c r="C402" s="100" t="s">
        <v>424</v>
      </c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83"/>
      <c r="P402" s="101" t="n">
        <v>3000</v>
      </c>
      <c r="Q402" s="102" t="s">
        <v>408</v>
      </c>
      <c r="Y402" s="90"/>
      <c r="AG402" s="8"/>
    </row>
    <row r="403" customFormat="false" ht="15.75" hidden="false" customHeight="true" outlineLevel="0" collapsed="false">
      <c r="A403" s="140" t="n">
        <v>45412</v>
      </c>
      <c r="B403" s="123" t="s">
        <v>525</v>
      </c>
      <c r="C403" s="100" t="s">
        <v>424</v>
      </c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83"/>
      <c r="P403" s="101" t="n">
        <v>2400</v>
      </c>
      <c r="Q403" s="102" t="s">
        <v>408</v>
      </c>
      <c r="Y403" s="90"/>
      <c r="AG403" s="8"/>
    </row>
    <row r="404" customFormat="false" ht="15.75" hidden="false" customHeight="true" outlineLevel="0" collapsed="false">
      <c r="A404" s="140" t="n">
        <v>45412</v>
      </c>
      <c r="B404" s="123" t="s">
        <v>526</v>
      </c>
      <c r="C404" s="100" t="s">
        <v>403</v>
      </c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83"/>
      <c r="P404" s="101" t="n">
        <v>3000</v>
      </c>
      <c r="Q404" s="102" t="s">
        <v>458</v>
      </c>
      <c r="Y404" s="90"/>
      <c r="AG404" s="8"/>
    </row>
    <row r="405" customFormat="false" ht="15.75" hidden="false" customHeight="true" outlineLevel="0" collapsed="false">
      <c r="A405" s="140" t="n">
        <v>45422</v>
      </c>
      <c r="B405" s="123" t="s">
        <v>502</v>
      </c>
      <c r="C405" s="100" t="s">
        <v>527</v>
      </c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83"/>
      <c r="P405" s="101" t="n">
        <v>3000</v>
      </c>
      <c r="Q405" s="102" t="s">
        <v>408</v>
      </c>
      <c r="Y405" s="90"/>
      <c r="AG405" s="8"/>
    </row>
    <row r="406" customFormat="false" ht="15.75" hidden="false" customHeight="true" outlineLevel="0" collapsed="false">
      <c r="A406" s="140" t="n">
        <v>45442</v>
      </c>
      <c r="B406" s="123" t="s">
        <v>528</v>
      </c>
      <c r="C406" s="100" t="s">
        <v>529</v>
      </c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83"/>
      <c r="P406" s="101" t="n">
        <v>666.66</v>
      </c>
      <c r="Q406" s="102" t="s">
        <v>530</v>
      </c>
      <c r="Y406" s="90"/>
      <c r="AG406" s="8"/>
    </row>
    <row r="407" customFormat="false" ht="15.75" hidden="false" customHeight="true" outlineLevel="0" collapsed="false">
      <c r="A407" s="140" t="n">
        <v>45442</v>
      </c>
      <c r="B407" s="125" t="s">
        <v>531</v>
      </c>
      <c r="C407" s="100" t="s">
        <v>424</v>
      </c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83"/>
      <c r="P407" s="101" t="n">
        <v>2450</v>
      </c>
      <c r="Q407" s="102" t="s">
        <v>408</v>
      </c>
      <c r="Y407" s="90"/>
      <c r="AG407" s="8"/>
    </row>
    <row r="408" customFormat="false" ht="15.75" hidden="false" customHeight="true" outlineLevel="0" collapsed="false">
      <c r="A408" s="143"/>
      <c r="B408" s="123"/>
      <c r="C408" s="105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83"/>
      <c r="P408" s="83"/>
      <c r="Q408" s="83"/>
      <c r="Y408" s="90"/>
      <c r="AG408" s="8"/>
    </row>
    <row r="409" customFormat="false" ht="15.75" hidden="false" customHeight="true" outlineLevel="0" collapsed="false">
      <c r="A409" s="143"/>
      <c r="B409" s="123"/>
      <c r="C409" s="105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83"/>
      <c r="P409" s="83"/>
      <c r="Q409" s="83"/>
      <c r="Y409" s="90"/>
      <c r="AG409" s="8"/>
    </row>
    <row r="410" customFormat="false" ht="15.75" hidden="false" customHeight="true" outlineLevel="0" collapsed="false">
      <c r="A410" s="143"/>
      <c r="B410" s="123"/>
      <c r="C410" s="105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83"/>
      <c r="P410" s="83"/>
      <c r="Q410" s="83"/>
      <c r="Y410" s="90"/>
      <c r="AG410" s="8"/>
    </row>
    <row r="411" customFormat="false" ht="15.75" hidden="false" customHeight="true" outlineLevel="0" collapsed="false">
      <c r="A411" s="143"/>
      <c r="B411" s="123"/>
      <c r="C411" s="105"/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83"/>
      <c r="P411" s="83"/>
      <c r="Q411" s="83"/>
      <c r="Y411" s="90"/>
      <c r="AG411" s="8"/>
    </row>
    <row r="412" customFormat="false" ht="15.75" hidden="false" customHeight="true" outlineLevel="0" collapsed="false">
      <c r="A412" s="144"/>
      <c r="B412" s="123"/>
      <c r="C412" s="105"/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17"/>
      <c r="P412" s="117"/>
      <c r="Q412" s="117"/>
      <c r="Y412" s="90"/>
      <c r="AG412" s="8"/>
    </row>
    <row r="413" customFormat="false" ht="14.25" hidden="false" customHeight="true" outlineLevel="0" collapsed="false">
      <c r="B413" s="1"/>
      <c r="Y413" s="90"/>
      <c r="AG413" s="8"/>
    </row>
    <row r="414" customFormat="false" ht="14.25" hidden="false" customHeight="true" outlineLevel="0" collapsed="false">
      <c r="B414" s="1"/>
      <c r="Y414" s="90"/>
      <c r="AG414" s="8"/>
    </row>
    <row r="415" customFormat="false" ht="14.25" hidden="false" customHeight="true" outlineLevel="0" collapsed="false">
      <c r="B415" s="1"/>
      <c r="Y415" s="90"/>
      <c r="AG415" s="8"/>
    </row>
    <row r="416" customFormat="false" ht="15.75" hidden="false" customHeight="true" outlineLevel="0" collapsed="false">
      <c r="B416" s="1"/>
      <c r="Z416" s="90"/>
      <c r="AH416" s="8"/>
    </row>
    <row r="417" customFormat="false" ht="15.75" hidden="false" customHeight="true" outlineLevel="0" collapsed="false">
      <c r="B417" s="1"/>
      <c r="Z417" s="90"/>
      <c r="AH417" s="8"/>
    </row>
    <row r="418" customFormat="false" ht="15.75" hidden="false" customHeight="true" outlineLevel="0" collapsed="false">
      <c r="B418" s="1"/>
      <c r="Z418" s="90"/>
      <c r="AH418" s="8"/>
    </row>
    <row r="419" customFormat="false" ht="15.75" hidden="false" customHeight="true" outlineLevel="0" collapsed="false">
      <c r="B419" s="1"/>
      <c r="Z419" s="90"/>
      <c r="AH419" s="8"/>
    </row>
    <row r="420" customFormat="false" ht="15.75" hidden="false" customHeight="true" outlineLevel="0" collapsed="false">
      <c r="B420" s="1"/>
      <c r="Z420" s="90"/>
      <c r="AH420" s="8"/>
    </row>
    <row r="421" customFormat="false" ht="15.75" hidden="false" customHeight="true" outlineLevel="0" collapsed="false">
      <c r="B421" s="1"/>
      <c r="Z421" s="90"/>
      <c r="AH421" s="8"/>
    </row>
    <row r="422" customFormat="false" ht="15.75" hidden="false" customHeight="true" outlineLevel="0" collapsed="false">
      <c r="B422" s="1"/>
      <c r="Z422" s="90"/>
      <c r="AH422" s="8"/>
    </row>
    <row r="423" customFormat="false" ht="15.75" hidden="false" customHeight="true" outlineLevel="0" collapsed="false">
      <c r="B423" s="1"/>
      <c r="Z423" s="90"/>
      <c r="AH423" s="8"/>
    </row>
    <row r="424" customFormat="false" ht="15.75" hidden="false" customHeight="true" outlineLevel="0" collapsed="false">
      <c r="B424" s="1"/>
      <c r="Z424" s="90"/>
      <c r="AH424" s="8"/>
    </row>
    <row r="425" customFormat="false" ht="15.75" hidden="false" customHeight="true" outlineLevel="0" collapsed="false">
      <c r="B425" s="1"/>
      <c r="Z425" s="90"/>
      <c r="AH425" s="8"/>
    </row>
    <row r="426" customFormat="false" ht="15.75" hidden="false" customHeight="true" outlineLevel="0" collapsed="false">
      <c r="B426" s="1"/>
      <c r="Z426" s="90"/>
      <c r="AH426" s="8"/>
    </row>
    <row r="427" customFormat="false" ht="15.75" hidden="false" customHeight="true" outlineLevel="0" collapsed="false">
      <c r="B427" s="1"/>
      <c r="Z427" s="90"/>
      <c r="AH427" s="8"/>
    </row>
    <row r="428" customFormat="false" ht="15.75" hidden="false" customHeight="true" outlineLevel="0" collapsed="false">
      <c r="B428" s="1"/>
      <c r="Z428" s="90"/>
      <c r="AH428" s="8"/>
    </row>
    <row r="429" customFormat="false" ht="15.75" hidden="false" customHeight="true" outlineLevel="0" collapsed="false">
      <c r="B429" s="1"/>
      <c r="Z429" s="90"/>
      <c r="AH429" s="8"/>
    </row>
    <row r="430" customFormat="false" ht="15.75" hidden="false" customHeight="true" outlineLevel="0" collapsed="false">
      <c r="B430" s="1"/>
      <c r="Z430" s="90"/>
      <c r="AH430" s="8"/>
    </row>
    <row r="431" customFormat="false" ht="15.75" hidden="false" customHeight="true" outlineLevel="0" collapsed="false">
      <c r="B431" s="1"/>
      <c r="Z431" s="90"/>
      <c r="AH431" s="8"/>
    </row>
    <row r="432" customFormat="false" ht="15.75" hidden="false" customHeight="true" outlineLevel="0" collapsed="false">
      <c r="B432" s="1"/>
      <c r="Z432" s="90"/>
      <c r="AH432" s="8"/>
    </row>
    <row r="433" customFormat="false" ht="15.75" hidden="false" customHeight="true" outlineLevel="0" collapsed="false">
      <c r="B433" s="1"/>
      <c r="Z433" s="90"/>
      <c r="AH433" s="8"/>
    </row>
    <row r="434" customFormat="false" ht="15.75" hidden="false" customHeight="true" outlineLevel="0" collapsed="false">
      <c r="B434" s="1"/>
      <c r="Z434" s="90"/>
      <c r="AH434" s="8"/>
    </row>
    <row r="435" customFormat="false" ht="15.75" hidden="false" customHeight="true" outlineLevel="0" collapsed="false">
      <c r="B435" s="1"/>
      <c r="Z435" s="90"/>
      <c r="AH435" s="8"/>
    </row>
    <row r="436" customFormat="false" ht="15.75" hidden="false" customHeight="true" outlineLevel="0" collapsed="false">
      <c r="B436" s="1"/>
      <c r="Z436" s="90"/>
      <c r="AH436" s="8"/>
    </row>
    <row r="437" customFormat="false" ht="15.75" hidden="false" customHeight="true" outlineLevel="0" collapsed="false">
      <c r="B437" s="1"/>
      <c r="Z437" s="90"/>
      <c r="AH437" s="8"/>
    </row>
    <row r="438" customFormat="false" ht="15.75" hidden="false" customHeight="true" outlineLevel="0" collapsed="false">
      <c r="B438" s="1"/>
      <c r="Z438" s="90"/>
      <c r="AH438" s="8"/>
    </row>
    <row r="439" customFormat="false" ht="15.75" hidden="false" customHeight="true" outlineLevel="0" collapsed="false">
      <c r="B439" s="1"/>
      <c r="Z439" s="90"/>
      <c r="AH439" s="8"/>
    </row>
    <row r="440" customFormat="false" ht="15.75" hidden="false" customHeight="true" outlineLevel="0" collapsed="false">
      <c r="B440" s="1"/>
      <c r="Z440" s="90"/>
      <c r="AH440" s="8"/>
    </row>
    <row r="441" customFormat="false" ht="15.75" hidden="false" customHeight="true" outlineLevel="0" collapsed="false">
      <c r="B441" s="1"/>
      <c r="Z441" s="90"/>
      <c r="AH441" s="8"/>
    </row>
    <row r="442" customFormat="false" ht="15.75" hidden="false" customHeight="true" outlineLevel="0" collapsed="false">
      <c r="B442" s="1"/>
      <c r="Z442" s="90"/>
      <c r="AH442" s="8"/>
    </row>
    <row r="443" customFormat="false" ht="15.75" hidden="false" customHeight="true" outlineLevel="0" collapsed="false">
      <c r="B443" s="1"/>
      <c r="Z443" s="90"/>
      <c r="AH443" s="8"/>
    </row>
    <row r="444" customFormat="false" ht="15.75" hidden="false" customHeight="true" outlineLevel="0" collapsed="false">
      <c r="B444" s="1"/>
      <c r="Z444" s="90"/>
      <c r="AH444" s="8"/>
    </row>
    <row r="445" customFormat="false" ht="15.75" hidden="false" customHeight="true" outlineLevel="0" collapsed="false">
      <c r="B445" s="1"/>
      <c r="Z445" s="90"/>
      <c r="AH445" s="8"/>
    </row>
    <row r="446" customFormat="false" ht="15.75" hidden="false" customHeight="true" outlineLevel="0" collapsed="false">
      <c r="B446" s="1"/>
      <c r="Z446" s="90"/>
      <c r="AH446" s="8"/>
    </row>
    <row r="447" customFormat="false" ht="15.75" hidden="false" customHeight="true" outlineLevel="0" collapsed="false">
      <c r="B447" s="1"/>
      <c r="Z447" s="90"/>
      <c r="AH447" s="8"/>
    </row>
    <row r="448" customFormat="false" ht="15.75" hidden="false" customHeight="true" outlineLevel="0" collapsed="false">
      <c r="B448" s="1"/>
      <c r="Z448" s="90"/>
      <c r="AH448" s="8"/>
    </row>
    <row r="449" customFormat="false" ht="15.75" hidden="false" customHeight="true" outlineLevel="0" collapsed="false">
      <c r="B449" s="1"/>
      <c r="Z449" s="90"/>
      <c r="AH449" s="8"/>
    </row>
    <row r="450" customFormat="false" ht="15.75" hidden="false" customHeight="true" outlineLevel="0" collapsed="false">
      <c r="B450" s="1"/>
      <c r="Z450" s="90"/>
      <c r="AH450" s="8"/>
    </row>
    <row r="451" customFormat="false" ht="15.75" hidden="false" customHeight="true" outlineLevel="0" collapsed="false">
      <c r="B451" s="1"/>
      <c r="Z451" s="90"/>
      <c r="AH451" s="8"/>
    </row>
    <row r="452" customFormat="false" ht="15.75" hidden="false" customHeight="true" outlineLevel="0" collapsed="false">
      <c r="B452" s="1"/>
      <c r="Z452" s="90"/>
      <c r="AH452" s="8"/>
    </row>
    <row r="453" customFormat="false" ht="15.75" hidden="false" customHeight="true" outlineLevel="0" collapsed="false">
      <c r="B453" s="1"/>
      <c r="Z453" s="90"/>
      <c r="AH453" s="8"/>
    </row>
    <row r="454" customFormat="false" ht="15.75" hidden="false" customHeight="true" outlineLevel="0" collapsed="false">
      <c r="B454" s="1"/>
      <c r="Z454" s="90"/>
      <c r="AH454" s="8"/>
    </row>
    <row r="455" customFormat="false" ht="15.75" hidden="false" customHeight="true" outlineLevel="0" collapsed="false">
      <c r="B455" s="1"/>
      <c r="Z455" s="90"/>
      <c r="AH455" s="8"/>
    </row>
    <row r="456" customFormat="false" ht="15.75" hidden="false" customHeight="true" outlineLevel="0" collapsed="false">
      <c r="B456" s="1"/>
      <c r="Z456" s="90"/>
      <c r="AH456" s="8"/>
    </row>
    <row r="457" customFormat="false" ht="15.75" hidden="false" customHeight="true" outlineLevel="0" collapsed="false">
      <c r="B457" s="1"/>
      <c r="Z457" s="90"/>
      <c r="AH457" s="8"/>
    </row>
    <row r="458" customFormat="false" ht="15.75" hidden="false" customHeight="true" outlineLevel="0" collapsed="false">
      <c r="B458" s="1"/>
      <c r="Z458" s="90"/>
      <c r="AH458" s="8"/>
    </row>
    <row r="459" customFormat="false" ht="15.75" hidden="false" customHeight="true" outlineLevel="0" collapsed="false">
      <c r="B459" s="1"/>
      <c r="Z459" s="90"/>
      <c r="AH459" s="8"/>
    </row>
    <row r="460" customFormat="false" ht="15.75" hidden="false" customHeight="true" outlineLevel="0" collapsed="false">
      <c r="B460" s="1"/>
      <c r="Z460" s="90"/>
      <c r="AH460" s="8"/>
    </row>
    <row r="461" customFormat="false" ht="15.75" hidden="false" customHeight="true" outlineLevel="0" collapsed="false">
      <c r="B461" s="1"/>
      <c r="Z461" s="90"/>
      <c r="AH461" s="8"/>
    </row>
    <row r="462" customFormat="false" ht="15.75" hidden="false" customHeight="true" outlineLevel="0" collapsed="false">
      <c r="B462" s="1"/>
      <c r="Z462" s="90"/>
      <c r="AH462" s="8"/>
    </row>
    <row r="463" customFormat="false" ht="15.75" hidden="false" customHeight="true" outlineLevel="0" collapsed="false">
      <c r="B463" s="1"/>
      <c r="Z463" s="90"/>
      <c r="AH463" s="8"/>
    </row>
    <row r="464" customFormat="false" ht="15.75" hidden="false" customHeight="true" outlineLevel="0" collapsed="false">
      <c r="B464" s="1"/>
      <c r="Z464" s="90"/>
      <c r="AH464" s="8"/>
    </row>
    <row r="465" customFormat="false" ht="15.75" hidden="false" customHeight="true" outlineLevel="0" collapsed="false">
      <c r="B465" s="1"/>
      <c r="Z465" s="90"/>
      <c r="AH465" s="8"/>
    </row>
    <row r="466" customFormat="false" ht="15.75" hidden="false" customHeight="true" outlineLevel="0" collapsed="false">
      <c r="B466" s="1"/>
      <c r="Z466" s="90"/>
      <c r="AH466" s="8"/>
    </row>
    <row r="467" customFormat="false" ht="15.75" hidden="false" customHeight="true" outlineLevel="0" collapsed="false">
      <c r="B467" s="1"/>
      <c r="Z467" s="90"/>
      <c r="AH467" s="8"/>
    </row>
    <row r="468" customFormat="false" ht="15.75" hidden="false" customHeight="true" outlineLevel="0" collapsed="false">
      <c r="B468" s="1"/>
      <c r="Z468" s="90"/>
      <c r="AH468" s="8"/>
    </row>
    <row r="469" customFormat="false" ht="15.75" hidden="false" customHeight="true" outlineLevel="0" collapsed="false">
      <c r="B469" s="1"/>
      <c r="Z469" s="90"/>
      <c r="AH469" s="8"/>
    </row>
    <row r="470" customFormat="false" ht="15.75" hidden="false" customHeight="true" outlineLevel="0" collapsed="false">
      <c r="B470" s="1"/>
      <c r="Z470" s="90"/>
      <c r="AH470" s="8"/>
    </row>
    <row r="471" customFormat="false" ht="15.75" hidden="false" customHeight="true" outlineLevel="0" collapsed="false">
      <c r="B471" s="1"/>
      <c r="Z471" s="90"/>
      <c r="AH471" s="8"/>
    </row>
    <row r="472" customFormat="false" ht="15.75" hidden="false" customHeight="true" outlineLevel="0" collapsed="false">
      <c r="B472" s="1"/>
      <c r="Z472" s="90"/>
      <c r="AH472" s="8"/>
    </row>
    <row r="473" customFormat="false" ht="15.75" hidden="false" customHeight="true" outlineLevel="0" collapsed="false">
      <c r="B473" s="1"/>
      <c r="Z473" s="90"/>
      <c r="AH473" s="8"/>
    </row>
    <row r="474" customFormat="false" ht="15.75" hidden="false" customHeight="true" outlineLevel="0" collapsed="false">
      <c r="B474" s="1"/>
      <c r="Z474" s="90"/>
      <c r="AH474" s="8"/>
    </row>
    <row r="475" customFormat="false" ht="15.75" hidden="false" customHeight="true" outlineLevel="0" collapsed="false">
      <c r="B475" s="1"/>
      <c r="Z475" s="90"/>
      <c r="AH475" s="8"/>
    </row>
    <row r="476" customFormat="false" ht="15.75" hidden="false" customHeight="true" outlineLevel="0" collapsed="false">
      <c r="B476" s="1"/>
      <c r="Z476" s="90"/>
      <c r="AH476" s="8"/>
    </row>
    <row r="477" customFormat="false" ht="15.75" hidden="false" customHeight="true" outlineLevel="0" collapsed="false">
      <c r="B477" s="1"/>
      <c r="Z477" s="90"/>
      <c r="AH477" s="8"/>
    </row>
    <row r="478" customFormat="false" ht="15.75" hidden="false" customHeight="true" outlineLevel="0" collapsed="false">
      <c r="B478" s="1"/>
      <c r="Z478" s="90"/>
      <c r="AH478" s="8"/>
    </row>
    <row r="479" customFormat="false" ht="15.75" hidden="false" customHeight="true" outlineLevel="0" collapsed="false">
      <c r="B479" s="1"/>
      <c r="Z479" s="90"/>
      <c r="AH479" s="8"/>
    </row>
    <row r="480" customFormat="false" ht="15.75" hidden="false" customHeight="true" outlineLevel="0" collapsed="false">
      <c r="B480" s="1"/>
      <c r="Z480" s="90"/>
      <c r="AH480" s="8"/>
    </row>
    <row r="481" customFormat="false" ht="15.75" hidden="false" customHeight="true" outlineLevel="0" collapsed="false">
      <c r="B481" s="1"/>
      <c r="Z481" s="90"/>
      <c r="AH481" s="8"/>
    </row>
    <row r="482" customFormat="false" ht="15.75" hidden="false" customHeight="true" outlineLevel="0" collapsed="false">
      <c r="B482" s="1"/>
      <c r="Z482" s="90"/>
      <c r="AH482" s="8"/>
    </row>
    <row r="483" customFormat="false" ht="15.75" hidden="false" customHeight="true" outlineLevel="0" collapsed="false">
      <c r="B483" s="1"/>
      <c r="Z483" s="90"/>
      <c r="AH483" s="8"/>
    </row>
    <row r="484" customFormat="false" ht="15.75" hidden="false" customHeight="true" outlineLevel="0" collapsed="false">
      <c r="B484" s="1"/>
      <c r="Z484" s="90"/>
      <c r="AH484" s="8"/>
    </row>
    <row r="485" customFormat="false" ht="15.75" hidden="false" customHeight="true" outlineLevel="0" collapsed="false">
      <c r="B485" s="1"/>
      <c r="Z485" s="90"/>
      <c r="AH485" s="8"/>
    </row>
    <row r="486" customFormat="false" ht="15.75" hidden="false" customHeight="true" outlineLevel="0" collapsed="false">
      <c r="B486" s="1"/>
      <c r="Z486" s="90"/>
      <c r="AH486" s="8"/>
    </row>
    <row r="487" customFormat="false" ht="15.75" hidden="false" customHeight="true" outlineLevel="0" collapsed="false">
      <c r="B487" s="1"/>
      <c r="Z487" s="90"/>
      <c r="AH487" s="8"/>
    </row>
    <row r="488" customFormat="false" ht="15.75" hidden="false" customHeight="true" outlineLevel="0" collapsed="false">
      <c r="B488" s="1"/>
      <c r="Z488" s="90"/>
      <c r="AH488" s="8"/>
    </row>
    <row r="489" customFormat="false" ht="15.75" hidden="false" customHeight="true" outlineLevel="0" collapsed="false">
      <c r="B489" s="1"/>
      <c r="Z489" s="90"/>
      <c r="AH489" s="8"/>
    </row>
    <row r="490" customFormat="false" ht="15.75" hidden="false" customHeight="true" outlineLevel="0" collapsed="false">
      <c r="B490" s="1"/>
      <c r="Z490" s="90"/>
      <c r="AH490" s="8"/>
    </row>
    <row r="491" customFormat="false" ht="15.75" hidden="false" customHeight="true" outlineLevel="0" collapsed="false">
      <c r="B491" s="1"/>
      <c r="Z491" s="90"/>
      <c r="AH491" s="8"/>
    </row>
    <row r="492" customFormat="false" ht="15.75" hidden="false" customHeight="true" outlineLevel="0" collapsed="false">
      <c r="B492" s="1"/>
      <c r="Z492" s="90"/>
      <c r="AH492" s="8"/>
    </row>
    <row r="493" customFormat="false" ht="15.75" hidden="false" customHeight="true" outlineLevel="0" collapsed="false">
      <c r="B493" s="1"/>
      <c r="Z493" s="90"/>
      <c r="AH493" s="8"/>
    </row>
    <row r="494" customFormat="false" ht="15.75" hidden="false" customHeight="true" outlineLevel="0" collapsed="false">
      <c r="B494" s="1"/>
      <c r="Z494" s="90"/>
      <c r="AH494" s="8"/>
    </row>
    <row r="495" customFormat="false" ht="15.75" hidden="false" customHeight="true" outlineLevel="0" collapsed="false">
      <c r="B495" s="1"/>
      <c r="Z495" s="90"/>
      <c r="AH495" s="8"/>
    </row>
    <row r="496" customFormat="false" ht="15.75" hidden="false" customHeight="true" outlineLevel="0" collapsed="false">
      <c r="B496" s="1"/>
      <c r="Z496" s="90"/>
      <c r="AH496" s="8"/>
    </row>
    <row r="497" customFormat="false" ht="15.75" hidden="false" customHeight="true" outlineLevel="0" collapsed="false">
      <c r="B497" s="1"/>
      <c r="Z497" s="90"/>
      <c r="AH497" s="8"/>
    </row>
    <row r="498" customFormat="false" ht="15.75" hidden="false" customHeight="true" outlineLevel="0" collapsed="false">
      <c r="B498" s="1"/>
      <c r="Z498" s="90"/>
      <c r="AH498" s="8"/>
    </row>
    <row r="499" customFormat="false" ht="15.75" hidden="false" customHeight="true" outlineLevel="0" collapsed="false">
      <c r="B499" s="1"/>
      <c r="Z499" s="90"/>
      <c r="AH499" s="8"/>
    </row>
    <row r="500" customFormat="false" ht="15.75" hidden="false" customHeight="true" outlineLevel="0" collapsed="false">
      <c r="B500" s="1"/>
      <c r="Z500" s="90"/>
      <c r="AH500" s="8"/>
    </row>
    <row r="501" customFormat="false" ht="15.75" hidden="false" customHeight="true" outlineLevel="0" collapsed="false">
      <c r="B501" s="1"/>
      <c r="Z501" s="90"/>
      <c r="AH501" s="8"/>
    </row>
    <row r="502" customFormat="false" ht="15.75" hidden="false" customHeight="true" outlineLevel="0" collapsed="false">
      <c r="B502" s="1"/>
      <c r="Z502" s="90"/>
      <c r="AH502" s="8"/>
    </row>
    <row r="503" customFormat="false" ht="15.75" hidden="false" customHeight="true" outlineLevel="0" collapsed="false">
      <c r="B503" s="1"/>
      <c r="Z503" s="90"/>
      <c r="AH503" s="8"/>
    </row>
    <row r="504" customFormat="false" ht="15.75" hidden="false" customHeight="true" outlineLevel="0" collapsed="false">
      <c r="B504" s="1"/>
      <c r="Z504" s="90"/>
      <c r="AH504" s="8"/>
    </row>
    <row r="505" customFormat="false" ht="15.75" hidden="false" customHeight="true" outlineLevel="0" collapsed="false">
      <c r="B505" s="1"/>
      <c r="Z505" s="90"/>
      <c r="AH505" s="8"/>
    </row>
    <row r="506" customFormat="false" ht="15.75" hidden="false" customHeight="true" outlineLevel="0" collapsed="false">
      <c r="B506" s="1"/>
      <c r="Z506" s="90"/>
      <c r="AH506" s="8"/>
    </row>
    <row r="507" customFormat="false" ht="15.75" hidden="false" customHeight="true" outlineLevel="0" collapsed="false">
      <c r="B507" s="1"/>
      <c r="Z507" s="90"/>
      <c r="AH507" s="8"/>
    </row>
    <row r="508" customFormat="false" ht="15.75" hidden="false" customHeight="true" outlineLevel="0" collapsed="false">
      <c r="B508" s="1"/>
      <c r="Z508" s="90"/>
      <c r="AH508" s="8"/>
    </row>
    <row r="509" customFormat="false" ht="15.75" hidden="false" customHeight="true" outlineLevel="0" collapsed="false">
      <c r="B509" s="1"/>
      <c r="Z509" s="90"/>
      <c r="AH509" s="8"/>
    </row>
    <row r="510" customFormat="false" ht="15.75" hidden="false" customHeight="true" outlineLevel="0" collapsed="false">
      <c r="B510" s="1"/>
      <c r="Z510" s="90"/>
      <c r="AH510" s="8"/>
    </row>
    <row r="511" customFormat="false" ht="15.75" hidden="false" customHeight="true" outlineLevel="0" collapsed="false">
      <c r="B511" s="1"/>
      <c r="Z511" s="90"/>
      <c r="AH511" s="8"/>
    </row>
    <row r="512" customFormat="false" ht="15.75" hidden="false" customHeight="true" outlineLevel="0" collapsed="false">
      <c r="B512" s="1"/>
      <c r="Z512" s="90"/>
      <c r="AH512" s="8"/>
    </row>
    <row r="513" customFormat="false" ht="15.75" hidden="false" customHeight="true" outlineLevel="0" collapsed="false">
      <c r="B513" s="1"/>
      <c r="Z513" s="90"/>
      <c r="AH513" s="8"/>
    </row>
    <row r="514" customFormat="false" ht="15.75" hidden="false" customHeight="true" outlineLevel="0" collapsed="false">
      <c r="B514" s="1"/>
      <c r="Z514" s="90"/>
      <c r="AH514" s="8"/>
    </row>
    <row r="515" customFormat="false" ht="15.75" hidden="false" customHeight="true" outlineLevel="0" collapsed="false">
      <c r="B515" s="1"/>
      <c r="Z515" s="90"/>
      <c r="AH515" s="8"/>
    </row>
    <row r="516" customFormat="false" ht="15.75" hidden="false" customHeight="true" outlineLevel="0" collapsed="false">
      <c r="B516" s="1"/>
      <c r="Z516" s="90"/>
      <c r="AH516" s="8"/>
    </row>
    <row r="517" customFormat="false" ht="15.75" hidden="false" customHeight="true" outlineLevel="0" collapsed="false">
      <c r="B517" s="1"/>
      <c r="Z517" s="90"/>
      <c r="AH517" s="8"/>
    </row>
    <row r="518" customFormat="false" ht="15.75" hidden="false" customHeight="true" outlineLevel="0" collapsed="false">
      <c r="B518" s="1"/>
      <c r="Z518" s="90"/>
      <c r="AH518" s="8"/>
    </row>
    <row r="519" customFormat="false" ht="15.75" hidden="false" customHeight="true" outlineLevel="0" collapsed="false">
      <c r="B519" s="1"/>
      <c r="Z519" s="90"/>
      <c r="AH519" s="8"/>
    </row>
    <row r="520" customFormat="false" ht="15.75" hidden="false" customHeight="true" outlineLevel="0" collapsed="false">
      <c r="B520" s="1"/>
      <c r="Z520" s="90"/>
      <c r="AH520" s="8"/>
    </row>
    <row r="521" customFormat="false" ht="15.75" hidden="false" customHeight="true" outlineLevel="0" collapsed="false">
      <c r="A521" s="145"/>
      <c r="B521" s="1"/>
      <c r="Z521" s="90"/>
      <c r="AH521" s="8"/>
    </row>
    <row r="522" customFormat="false" ht="15.75" hidden="false" customHeight="true" outlineLevel="0" collapsed="false">
      <c r="A522" s="145"/>
      <c r="B522" s="1"/>
      <c r="Z522" s="90"/>
      <c r="AH522" s="8"/>
    </row>
    <row r="523" customFormat="false" ht="15.75" hidden="false" customHeight="true" outlineLevel="0" collapsed="false">
      <c r="A523" s="145"/>
      <c r="B523" s="1"/>
      <c r="Z523" s="90"/>
      <c r="AH523" s="8"/>
    </row>
    <row r="524" customFormat="false" ht="15.75" hidden="false" customHeight="true" outlineLevel="0" collapsed="false">
      <c r="A524" s="145"/>
      <c r="B524" s="1"/>
      <c r="Z524" s="90"/>
      <c r="AH524" s="8"/>
    </row>
    <row r="525" customFormat="false" ht="15.75" hidden="false" customHeight="true" outlineLevel="0" collapsed="false">
      <c r="A525" s="145"/>
      <c r="B525" s="1"/>
      <c r="Z525" s="90"/>
      <c r="AH525" s="8"/>
    </row>
    <row r="526" customFormat="false" ht="15.75" hidden="false" customHeight="true" outlineLevel="0" collapsed="false">
      <c r="A526" s="145"/>
      <c r="B526" s="1"/>
      <c r="Z526" s="90"/>
      <c r="AH526" s="8"/>
    </row>
    <row r="527" customFormat="false" ht="15.75" hidden="false" customHeight="true" outlineLevel="0" collapsed="false">
      <c r="A527" s="145"/>
      <c r="B527" s="1"/>
      <c r="Z527" s="90"/>
      <c r="AH527" s="8"/>
    </row>
    <row r="528" customFormat="false" ht="15.75" hidden="false" customHeight="true" outlineLevel="0" collapsed="false">
      <c r="A528" s="145"/>
      <c r="B528" s="1"/>
      <c r="Z528" s="90"/>
      <c r="AH528" s="8"/>
    </row>
    <row r="529" customFormat="false" ht="15.75" hidden="false" customHeight="true" outlineLevel="0" collapsed="false">
      <c r="A529" s="145"/>
      <c r="B529" s="1"/>
      <c r="Z529" s="90"/>
      <c r="AH529" s="8"/>
    </row>
    <row r="530" customFormat="false" ht="15.75" hidden="false" customHeight="true" outlineLevel="0" collapsed="false">
      <c r="A530" s="145"/>
      <c r="B530" s="1"/>
      <c r="Z530" s="90"/>
      <c r="AH530" s="8"/>
    </row>
    <row r="531" customFormat="false" ht="15.75" hidden="false" customHeight="true" outlineLevel="0" collapsed="false">
      <c r="A531" s="145"/>
      <c r="B531" s="1"/>
      <c r="Z531" s="90"/>
      <c r="AH531" s="8"/>
    </row>
    <row r="532" customFormat="false" ht="15.75" hidden="false" customHeight="true" outlineLevel="0" collapsed="false">
      <c r="A532" s="145"/>
      <c r="B532" s="1"/>
      <c r="Z532" s="90"/>
      <c r="AH532" s="8"/>
    </row>
    <row r="533" customFormat="false" ht="15.75" hidden="false" customHeight="true" outlineLevel="0" collapsed="false">
      <c r="A533" s="145"/>
      <c r="B533" s="1"/>
      <c r="Z533" s="90"/>
      <c r="AH533" s="8"/>
    </row>
    <row r="534" customFormat="false" ht="15.75" hidden="false" customHeight="true" outlineLevel="0" collapsed="false">
      <c r="A534" s="145"/>
      <c r="B534" s="1"/>
      <c r="Z534" s="90"/>
      <c r="AH534" s="8"/>
    </row>
    <row r="535" customFormat="false" ht="15.75" hidden="false" customHeight="true" outlineLevel="0" collapsed="false">
      <c r="A535" s="145"/>
      <c r="B535" s="1"/>
      <c r="Z535" s="90"/>
      <c r="AH535" s="8"/>
    </row>
    <row r="536" customFormat="false" ht="15.75" hidden="false" customHeight="true" outlineLevel="0" collapsed="false">
      <c r="A536" s="145"/>
      <c r="B536" s="1"/>
      <c r="Z536" s="90"/>
      <c r="AH536" s="8"/>
    </row>
    <row r="537" customFormat="false" ht="15.75" hidden="false" customHeight="true" outlineLevel="0" collapsed="false">
      <c r="A537" s="145"/>
      <c r="B537" s="1"/>
      <c r="Z537" s="90"/>
      <c r="AH537" s="8"/>
    </row>
    <row r="538" customFormat="false" ht="15.75" hidden="false" customHeight="true" outlineLevel="0" collapsed="false">
      <c r="A538" s="145"/>
      <c r="B538" s="1"/>
      <c r="Z538" s="90"/>
      <c r="AH538" s="8"/>
    </row>
    <row r="539" customFormat="false" ht="15.75" hidden="false" customHeight="true" outlineLevel="0" collapsed="false">
      <c r="A539" s="145"/>
      <c r="B539" s="1"/>
      <c r="Z539" s="90"/>
      <c r="AH539" s="8"/>
    </row>
    <row r="540" customFormat="false" ht="15.75" hidden="false" customHeight="true" outlineLevel="0" collapsed="false">
      <c r="A540" s="145"/>
      <c r="B540" s="1"/>
      <c r="Z540" s="90"/>
      <c r="AH540" s="8"/>
    </row>
    <row r="541" customFormat="false" ht="15.75" hidden="false" customHeight="true" outlineLevel="0" collapsed="false">
      <c r="A541" s="145"/>
      <c r="B541" s="1"/>
      <c r="Z541" s="90"/>
      <c r="AH541" s="8"/>
    </row>
    <row r="542" customFormat="false" ht="15.75" hidden="false" customHeight="true" outlineLevel="0" collapsed="false">
      <c r="A542" s="145"/>
      <c r="B542" s="1"/>
      <c r="Z542" s="90"/>
      <c r="AH542" s="8"/>
    </row>
    <row r="543" customFormat="false" ht="15.75" hidden="false" customHeight="true" outlineLevel="0" collapsed="false">
      <c r="A543" s="145"/>
      <c r="B543" s="1"/>
      <c r="Z543" s="90"/>
      <c r="AH543" s="8"/>
    </row>
    <row r="544" customFormat="false" ht="15.75" hidden="false" customHeight="true" outlineLevel="0" collapsed="false">
      <c r="A544" s="145"/>
      <c r="B544" s="1"/>
      <c r="Z544" s="90"/>
      <c r="AH544" s="8"/>
    </row>
    <row r="545" customFormat="false" ht="15.75" hidden="false" customHeight="true" outlineLevel="0" collapsed="false">
      <c r="A545" s="145"/>
      <c r="B545" s="1"/>
      <c r="Z545" s="90"/>
      <c r="AH545" s="8"/>
    </row>
    <row r="546" customFormat="false" ht="15.75" hidden="false" customHeight="true" outlineLevel="0" collapsed="false">
      <c r="A546" s="145"/>
      <c r="B546" s="1"/>
      <c r="Z546" s="90"/>
      <c r="AH546" s="8"/>
    </row>
    <row r="547" customFormat="false" ht="15.75" hidden="false" customHeight="true" outlineLevel="0" collapsed="false">
      <c r="A547" s="145"/>
      <c r="B547" s="1"/>
      <c r="Z547" s="90"/>
      <c r="AH547" s="8"/>
    </row>
    <row r="548" customFormat="false" ht="15.75" hidden="false" customHeight="true" outlineLevel="0" collapsed="false">
      <c r="A548" s="145"/>
      <c r="B548" s="1"/>
      <c r="Z548" s="90"/>
      <c r="AH548" s="8"/>
    </row>
    <row r="549" customFormat="false" ht="15.75" hidden="false" customHeight="true" outlineLevel="0" collapsed="false">
      <c r="A549" s="145"/>
      <c r="B549" s="1"/>
      <c r="Z549" s="90"/>
      <c r="AH549" s="8"/>
    </row>
    <row r="550" customFormat="false" ht="15.75" hidden="false" customHeight="true" outlineLevel="0" collapsed="false">
      <c r="A550" s="145"/>
      <c r="B550" s="1"/>
      <c r="Z550" s="90"/>
      <c r="AH550" s="8"/>
    </row>
    <row r="551" customFormat="false" ht="15.75" hidden="false" customHeight="true" outlineLevel="0" collapsed="false">
      <c r="A551" s="145"/>
      <c r="B551" s="1"/>
      <c r="Z551" s="90"/>
      <c r="AH551" s="8"/>
    </row>
    <row r="552" customFormat="false" ht="15.75" hidden="false" customHeight="true" outlineLevel="0" collapsed="false">
      <c r="A552" s="145"/>
      <c r="B552" s="1"/>
      <c r="Z552" s="90"/>
      <c r="AH552" s="8"/>
    </row>
    <row r="553" customFormat="false" ht="15.75" hidden="false" customHeight="true" outlineLevel="0" collapsed="false">
      <c r="A553" s="145"/>
      <c r="B553" s="1"/>
      <c r="Z553" s="90"/>
      <c r="AH553" s="8"/>
    </row>
    <row r="554" customFormat="false" ht="15.75" hidden="false" customHeight="true" outlineLevel="0" collapsed="false">
      <c r="A554" s="145"/>
      <c r="B554" s="1"/>
      <c r="Z554" s="90"/>
      <c r="AH554" s="8"/>
    </row>
    <row r="555" customFormat="false" ht="15.75" hidden="false" customHeight="true" outlineLevel="0" collapsed="false">
      <c r="A555" s="145"/>
      <c r="B555" s="1"/>
      <c r="Z555" s="90"/>
      <c r="AH555" s="8"/>
    </row>
    <row r="556" customFormat="false" ht="15.75" hidden="false" customHeight="true" outlineLevel="0" collapsed="false">
      <c r="A556" s="145"/>
      <c r="B556" s="1"/>
      <c r="Z556" s="90"/>
      <c r="AH556" s="8"/>
    </row>
    <row r="557" customFormat="false" ht="15.75" hidden="false" customHeight="true" outlineLevel="0" collapsed="false">
      <c r="A557" s="145"/>
      <c r="B557" s="1"/>
      <c r="Z557" s="90"/>
      <c r="AH557" s="8"/>
    </row>
    <row r="558" customFormat="false" ht="15.75" hidden="false" customHeight="true" outlineLevel="0" collapsed="false">
      <c r="A558" s="145"/>
      <c r="B558" s="1"/>
      <c r="Z558" s="90"/>
      <c r="AH558" s="8"/>
    </row>
    <row r="559" customFormat="false" ht="15.75" hidden="false" customHeight="true" outlineLevel="0" collapsed="false">
      <c r="A559" s="145"/>
      <c r="B559" s="1"/>
      <c r="Z559" s="90"/>
      <c r="AH559" s="8"/>
    </row>
    <row r="560" customFormat="false" ht="15.75" hidden="false" customHeight="true" outlineLevel="0" collapsed="false">
      <c r="A560" s="145"/>
      <c r="B560" s="1"/>
      <c r="Z560" s="90"/>
      <c r="AH560" s="8"/>
    </row>
    <row r="561" customFormat="false" ht="15.75" hidden="false" customHeight="true" outlineLevel="0" collapsed="false">
      <c r="A561" s="145"/>
      <c r="B561" s="1"/>
      <c r="Z561" s="90"/>
      <c r="AH561" s="8"/>
    </row>
    <row r="562" customFormat="false" ht="15.75" hidden="false" customHeight="true" outlineLevel="0" collapsed="false">
      <c r="A562" s="145"/>
      <c r="B562" s="1"/>
      <c r="Z562" s="90"/>
      <c r="AH562" s="8"/>
    </row>
    <row r="563" customFormat="false" ht="15.75" hidden="false" customHeight="true" outlineLevel="0" collapsed="false">
      <c r="A563" s="145"/>
      <c r="B563" s="1"/>
      <c r="Z563" s="90"/>
      <c r="AH563" s="8"/>
    </row>
    <row r="564" customFormat="false" ht="15.75" hidden="false" customHeight="true" outlineLevel="0" collapsed="false">
      <c r="A564" s="145"/>
      <c r="B564" s="1"/>
      <c r="Z564" s="90"/>
      <c r="AH564" s="8"/>
    </row>
    <row r="565" customFormat="false" ht="15.75" hidden="false" customHeight="true" outlineLevel="0" collapsed="false">
      <c r="A565" s="145"/>
      <c r="B565" s="1"/>
      <c r="Z565" s="90"/>
      <c r="AH565" s="8"/>
    </row>
    <row r="566" customFormat="false" ht="15.75" hidden="false" customHeight="true" outlineLevel="0" collapsed="false">
      <c r="A566" s="145"/>
      <c r="B566" s="1"/>
      <c r="Z566" s="90"/>
      <c r="AH566" s="8"/>
    </row>
    <row r="567" customFormat="false" ht="15.75" hidden="false" customHeight="true" outlineLevel="0" collapsed="false">
      <c r="A567" s="145"/>
      <c r="B567" s="1"/>
      <c r="Z567" s="90"/>
      <c r="AH567" s="8"/>
    </row>
    <row r="568" customFormat="false" ht="15.75" hidden="false" customHeight="true" outlineLevel="0" collapsed="false">
      <c r="A568" s="145"/>
      <c r="B568" s="1"/>
      <c r="Z568" s="90"/>
      <c r="AH568" s="8"/>
    </row>
    <row r="569" customFormat="false" ht="15.75" hidden="false" customHeight="true" outlineLevel="0" collapsed="false">
      <c r="A569" s="145"/>
      <c r="B569" s="1"/>
      <c r="Z569" s="90"/>
      <c r="AH569" s="8"/>
    </row>
    <row r="570" customFormat="false" ht="15.75" hidden="false" customHeight="true" outlineLevel="0" collapsed="false">
      <c r="A570" s="145"/>
      <c r="B570" s="1"/>
      <c r="Z570" s="90"/>
      <c r="AH570" s="8"/>
    </row>
    <row r="571" customFormat="false" ht="15.75" hidden="false" customHeight="true" outlineLevel="0" collapsed="false">
      <c r="A571" s="145"/>
      <c r="B571" s="1"/>
      <c r="Z571" s="90"/>
      <c r="AH571" s="8"/>
    </row>
    <row r="572" customFormat="false" ht="15.75" hidden="false" customHeight="true" outlineLevel="0" collapsed="false">
      <c r="A572" s="145"/>
      <c r="B572" s="1"/>
      <c r="Z572" s="90"/>
      <c r="AH572" s="8"/>
    </row>
    <row r="573" customFormat="false" ht="15.75" hidden="false" customHeight="true" outlineLevel="0" collapsed="false">
      <c r="A573" s="145"/>
      <c r="B573" s="1"/>
      <c r="Z573" s="90"/>
      <c r="AH573" s="8"/>
    </row>
    <row r="574" customFormat="false" ht="15.75" hidden="false" customHeight="true" outlineLevel="0" collapsed="false">
      <c r="A574" s="145"/>
      <c r="B574" s="1"/>
      <c r="Z574" s="90"/>
      <c r="AH574" s="8"/>
    </row>
    <row r="575" customFormat="false" ht="15.75" hidden="false" customHeight="true" outlineLevel="0" collapsed="false">
      <c r="A575" s="145"/>
      <c r="B575" s="1"/>
      <c r="Z575" s="90"/>
      <c r="AH575" s="8"/>
    </row>
    <row r="576" customFormat="false" ht="15.75" hidden="false" customHeight="true" outlineLevel="0" collapsed="false">
      <c r="A576" s="145"/>
      <c r="B576" s="1"/>
      <c r="Z576" s="90"/>
      <c r="AH576" s="8"/>
    </row>
    <row r="577" customFormat="false" ht="15.75" hidden="false" customHeight="true" outlineLevel="0" collapsed="false">
      <c r="A577" s="145"/>
      <c r="B577" s="1"/>
      <c r="Z577" s="90"/>
      <c r="AH577" s="8"/>
    </row>
    <row r="578" customFormat="false" ht="15.75" hidden="false" customHeight="true" outlineLevel="0" collapsed="false">
      <c r="A578" s="145"/>
      <c r="B578" s="1"/>
      <c r="Z578" s="90"/>
      <c r="AH578" s="8"/>
    </row>
    <row r="579" customFormat="false" ht="15.75" hidden="false" customHeight="true" outlineLevel="0" collapsed="false">
      <c r="A579" s="145"/>
      <c r="B579" s="1"/>
      <c r="Z579" s="90"/>
      <c r="AH579" s="8"/>
    </row>
    <row r="580" customFormat="false" ht="15.75" hidden="false" customHeight="true" outlineLevel="0" collapsed="false">
      <c r="A580" s="145"/>
      <c r="B580" s="1"/>
      <c r="Z580" s="90"/>
      <c r="AH580" s="8"/>
    </row>
    <row r="581" customFormat="false" ht="15.75" hidden="false" customHeight="true" outlineLevel="0" collapsed="false">
      <c r="A581" s="145"/>
      <c r="B581" s="1"/>
      <c r="Z581" s="90"/>
      <c r="AH581" s="8"/>
    </row>
    <row r="582" customFormat="false" ht="15.75" hidden="false" customHeight="true" outlineLevel="0" collapsed="false">
      <c r="A582" s="145"/>
    </row>
    <row r="583" customFormat="false" ht="15.75" hidden="false" customHeight="true" outlineLevel="0" collapsed="false">
      <c r="A583" s="145"/>
    </row>
    <row r="584" customFormat="false" ht="15.75" hidden="false" customHeight="true" outlineLevel="0" collapsed="false">
      <c r="A584" s="145"/>
    </row>
    <row r="585" customFormat="false" ht="15.75" hidden="false" customHeight="true" outlineLevel="0" collapsed="false">
      <c r="A585" s="145"/>
    </row>
    <row r="586" customFormat="false" ht="15.75" hidden="false" customHeight="true" outlineLevel="0" collapsed="false">
      <c r="A586" s="145"/>
    </row>
    <row r="587" customFormat="false" ht="15.75" hidden="false" customHeight="true" outlineLevel="0" collapsed="false">
      <c r="A587" s="145"/>
    </row>
    <row r="588" customFormat="false" ht="15.75" hidden="false" customHeight="true" outlineLevel="0" collapsed="false">
      <c r="A588" s="145"/>
    </row>
    <row r="589" customFormat="false" ht="15.75" hidden="false" customHeight="true" outlineLevel="0" collapsed="false">
      <c r="A589" s="145"/>
    </row>
    <row r="590" customFormat="false" ht="15.75" hidden="false" customHeight="true" outlineLevel="0" collapsed="false">
      <c r="A590" s="145"/>
    </row>
    <row r="591" customFormat="false" ht="15.75" hidden="false" customHeight="true" outlineLevel="0" collapsed="false">
      <c r="A591" s="145"/>
    </row>
    <row r="592" customFormat="false" ht="15.75" hidden="false" customHeight="true" outlineLevel="0" collapsed="false">
      <c r="A592" s="145"/>
    </row>
    <row r="593" customFormat="false" ht="15.75" hidden="false" customHeight="true" outlineLevel="0" collapsed="false">
      <c r="A593" s="145"/>
    </row>
    <row r="594" customFormat="false" ht="15.75" hidden="false" customHeight="true" outlineLevel="0" collapsed="false">
      <c r="A594" s="145"/>
    </row>
    <row r="595" customFormat="false" ht="15.75" hidden="false" customHeight="true" outlineLevel="0" collapsed="false">
      <c r="A595" s="145"/>
    </row>
    <row r="596" customFormat="false" ht="15.75" hidden="false" customHeight="true" outlineLevel="0" collapsed="false">
      <c r="A596" s="145"/>
    </row>
    <row r="597" customFormat="false" ht="15.75" hidden="false" customHeight="true" outlineLevel="0" collapsed="false">
      <c r="A597" s="145"/>
    </row>
    <row r="598" customFormat="false" ht="15.75" hidden="false" customHeight="true" outlineLevel="0" collapsed="false">
      <c r="A598" s="145"/>
    </row>
    <row r="599" customFormat="false" ht="15.75" hidden="false" customHeight="true" outlineLevel="0" collapsed="false">
      <c r="A599" s="145"/>
    </row>
    <row r="600" customFormat="false" ht="15.75" hidden="false" customHeight="true" outlineLevel="0" collapsed="false">
      <c r="A600" s="145"/>
    </row>
    <row r="601" customFormat="false" ht="15.75" hidden="false" customHeight="true" outlineLevel="0" collapsed="false">
      <c r="A601" s="145"/>
    </row>
    <row r="602" customFormat="false" ht="15.75" hidden="false" customHeight="true" outlineLevel="0" collapsed="false">
      <c r="A602" s="145"/>
    </row>
    <row r="603" customFormat="false" ht="15.75" hidden="false" customHeight="true" outlineLevel="0" collapsed="false">
      <c r="A603" s="145"/>
    </row>
    <row r="604" customFormat="false" ht="15.75" hidden="false" customHeight="true" outlineLevel="0" collapsed="false">
      <c r="A604" s="145"/>
    </row>
    <row r="605" customFormat="false" ht="15.75" hidden="false" customHeight="true" outlineLevel="0" collapsed="false">
      <c r="A605" s="145"/>
    </row>
    <row r="606" customFormat="false" ht="15.75" hidden="false" customHeight="true" outlineLevel="0" collapsed="false">
      <c r="A606" s="145"/>
    </row>
    <row r="607" customFormat="false" ht="15.75" hidden="false" customHeight="true" outlineLevel="0" collapsed="false">
      <c r="A607" s="145"/>
    </row>
    <row r="608" customFormat="false" ht="15.75" hidden="false" customHeight="true" outlineLevel="0" collapsed="false">
      <c r="A608" s="145"/>
    </row>
    <row r="609" customFormat="false" ht="15.75" hidden="false" customHeight="true" outlineLevel="0" collapsed="false">
      <c r="A609" s="145"/>
    </row>
    <row r="610" customFormat="false" ht="15.75" hidden="false" customHeight="true" outlineLevel="0" collapsed="false">
      <c r="A610" s="145"/>
    </row>
    <row r="611" customFormat="false" ht="15.75" hidden="false" customHeight="true" outlineLevel="0" collapsed="false">
      <c r="A611" s="145"/>
    </row>
    <row r="612" customFormat="false" ht="15.75" hidden="false" customHeight="true" outlineLevel="0" collapsed="false">
      <c r="A612" s="145"/>
    </row>
    <row r="613" customFormat="false" ht="15.75" hidden="false" customHeight="true" outlineLevel="0" collapsed="false">
      <c r="A613" s="145"/>
    </row>
    <row r="614" customFormat="false" ht="15.75" hidden="false" customHeight="true" outlineLevel="0" collapsed="false">
      <c r="A614" s="145"/>
    </row>
    <row r="615" customFormat="false" ht="15.75" hidden="false" customHeight="true" outlineLevel="0" collapsed="false">
      <c r="A615" s="145"/>
    </row>
    <row r="616" customFormat="false" ht="15.75" hidden="false" customHeight="true" outlineLevel="0" collapsed="false">
      <c r="A616" s="145"/>
    </row>
    <row r="617" customFormat="false" ht="15.75" hidden="false" customHeight="true" outlineLevel="0" collapsed="false">
      <c r="A617" s="145"/>
    </row>
    <row r="618" customFormat="false" ht="15.75" hidden="false" customHeight="true" outlineLevel="0" collapsed="false">
      <c r="A618" s="145"/>
    </row>
    <row r="619" customFormat="false" ht="15.75" hidden="false" customHeight="true" outlineLevel="0" collapsed="false">
      <c r="A619" s="145"/>
    </row>
    <row r="620" customFormat="false" ht="15.75" hidden="false" customHeight="true" outlineLevel="0" collapsed="false">
      <c r="A620" s="145"/>
    </row>
    <row r="621" customFormat="false" ht="15.75" hidden="false" customHeight="true" outlineLevel="0" collapsed="false">
      <c r="A621" s="145"/>
    </row>
    <row r="622" customFormat="false" ht="15.75" hidden="false" customHeight="true" outlineLevel="0" collapsed="false">
      <c r="A622" s="145"/>
    </row>
    <row r="623" customFormat="false" ht="15.75" hidden="false" customHeight="true" outlineLevel="0" collapsed="false">
      <c r="A623" s="145"/>
    </row>
    <row r="624" customFormat="false" ht="15.75" hidden="false" customHeight="true" outlineLevel="0" collapsed="false">
      <c r="A624" s="145"/>
    </row>
    <row r="625" customFormat="false" ht="15.75" hidden="false" customHeight="true" outlineLevel="0" collapsed="false">
      <c r="A625" s="145"/>
    </row>
    <row r="626" customFormat="false" ht="15.75" hidden="false" customHeight="true" outlineLevel="0" collapsed="false">
      <c r="A626" s="145"/>
    </row>
    <row r="627" customFormat="false" ht="15.75" hidden="false" customHeight="true" outlineLevel="0" collapsed="false">
      <c r="A627" s="145"/>
    </row>
    <row r="628" customFormat="false" ht="15.75" hidden="false" customHeight="true" outlineLevel="0" collapsed="false">
      <c r="A628" s="145"/>
    </row>
    <row r="629" customFormat="false" ht="15.75" hidden="false" customHeight="true" outlineLevel="0" collapsed="false">
      <c r="A629" s="145"/>
    </row>
    <row r="630" customFormat="false" ht="15.75" hidden="false" customHeight="true" outlineLevel="0" collapsed="false">
      <c r="A630" s="145"/>
    </row>
    <row r="631" customFormat="false" ht="15.75" hidden="false" customHeight="true" outlineLevel="0" collapsed="false">
      <c r="A631" s="145"/>
    </row>
    <row r="632" customFormat="false" ht="15.75" hidden="false" customHeight="true" outlineLevel="0" collapsed="false">
      <c r="A632" s="145"/>
    </row>
    <row r="633" customFormat="false" ht="15.75" hidden="false" customHeight="true" outlineLevel="0" collapsed="false">
      <c r="A633" s="145"/>
    </row>
    <row r="634" customFormat="false" ht="15.75" hidden="false" customHeight="true" outlineLevel="0" collapsed="false">
      <c r="A634" s="145"/>
    </row>
    <row r="635" customFormat="false" ht="15.75" hidden="false" customHeight="true" outlineLevel="0" collapsed="false">
      <c r="A635" s="145"/>
    </row>
    <row r="636" customFormat="false" ht="15.75" hidden="false" customHeight="true" outlineLevel="0" collapsed="false">
      <c r="A636" s="145"/>
    </row>
    <row r="637" customFormat="false" ht="15.75" hidden="false" customHeight="true" outlineLevel="0" collapsed="false">
      <c r="A637" s="145"/>
    </row>
    <row r="638" customFormat="false" ht="15.75" hidden="false" customHeight="true" outlineLevel="0" collapsed="false">
      <c r="A638" s="145"/>
    </row>
    <row r="639" customFormat="false" ht="15.75" hidden="false" customHeight="true" outlineLevel="0" collapsed="false">
      <c r="A639" s="145"/>
    </row>
    <row r="640" customFormat="false" ht="15.75" hidden="false" customHeight="true" outlineLevel="0" collapsed="false">
      <c r="A640" s="145"/>
    </row>
    <row r="641" customFormat="false" ht="15.75" hidden="false" customHeight="true" outlineLevel="0" collapsed="false">
      <c r="A641" s="145"/>
    </row>
    <row r="642" customFormat="false" ht="15.75" hidden="false" customHeight="true" outlineLevel="0" collapsed="false">
      <c r="A642" s="145"/>
    </row>
    <row r="643" customFormat="false" ht="15.75" hidden="false" customHeight="true" outlineLevel="0" collapsed="false">
      <c r="A643" s="145"/>
    </row>
    <row r="644" customFormat="false" ht="15.75" hidden="false" customHeight="true" outlineLevel="0" collapsed="false">
      <c r="A644" s="145"/>
    </row>
    <row r="645" customFormat="false" ht="15.75" hidden="false" customHeight="true" outlineLevel="0" collapsed="false">
      <c r="A645" s="145"/>
    </row>
    <row r="646" customFormat="false" ht="15.75" hidden="false" customHeight="true" outlineLevel="0" collapsed="false">
      <c r="A646" s="145"/>
    </row>
    <row r="647" customFormat="false" ht="15.75" hidden="false" customHeight="true" outlineLevel="0" collapsed="false">
      <c r="A647" s="145"/>
    </row>
    <row r="648" customFormat="false" ht="15.75" hidden="false" customHeight="true" outlineLevel="0" collapsed="false">
      <c r="A648" s="145"/>
    </row>
    <row r="649" customFormat="false" ht="15.75" hidden="false" customHeight="true" outlineLevel="0" collapsed="false">
      <c r="A649" s="145"/>
    </row>
    <row r="650" customFormat="false" ht="15.75" hidden="false" customHeight="true" outlineLevel="0" collapsed="false">
      <c r="A650" s="145"/>
    </row>
    <row r="651" customFormat="false" ht="15.75" hidden="false" customHeight="true" outlineLevel="0" collapsed="false">
      <c r="A651" s="145"/>
    </row>
    <row r="652" customFormat="false" ht="15.75" hidden="false" customHeight="true" outlineLevel="0" collapsed="false">
      <c r="A652" s="145"/>
    </row>
    <row r="653" customFormat="false" ht="15.75" hidden="false" customHeight="true" outlineLevel="0" collapsed="false">
      <c r="A653" s="145"/>
    </row>
    <row r="654" customFormat="false" ht="15.75" hidden="false" customHeight="true" outlineLevel="0" collapsed="false">
      <c r="A654" s="145"/>
    </row>
    <row r="655" customFormat="false" ht="15.75" hidden="false" customHeight="true" outlineLevel="0" collapsed="false">
      <c r="A655" s="145"/>
    </row>
    <row r="656" customFormat="false" ht="15.75" hidden="false" customHeight="true" outlineLevel="0" collapsed="false">
      <c r="A656" s="145"/>
    </row>
    <row r="657" customFormat="false" ht="15.75" hidden="false" customHeight="true" outlineLevel="0" collapsed="false">
      <c r="A657" s="145"/>
    </row>
    <row r="658" customFormat="false" ht="15.75" hidden="false" customHeight="true" outlineLevel="0" collapsed="false">
      <c r="A658" s="145"/>
    </row>
    <row r="659" customFormat="false" ht="15.75" hidden="false" customHeight="true" outlineLevel="0" collapsed="false">
      <c r="A659" s="145"/>
    </row>
    <row r="660" customFormat="false" ht="15.75" hidden="false" customHeight="true" outlineLevel="0" collapsed="false">
      <c r="A660" s="145"/>
    </row>
    <row r="661" customFormat="false" ht="15.75" hidden="false" customHeight="true" outlineLevel="0" collapsed="false">
      <c r="A661" s="145"/>
    </row>
    <row r="662" customFormat="false" ht="15.75" hidden="false" customHeight="true" outlineLevel="0" collapsed="false">
      <c r="A662" s="145"/>
    </row>
    <row r="663" customFormat="false" ht="15.75" hidden="false" customHeight="true" outlineLevel="0" collapsed="false">
      <c r="A663" s="145"/>
    </row>
    <row r="664" customFormat="false" ht="15.75" hidden="false" customHeight="true" outlineLevel="0" collapsed="false">
      <c r="A664" s="145"/>
    </row>
    <row r="665" customFormat="false" ht="15.75" hidden="false" customHeight="true" outlineLevel="0" collapsed="false">
      <c r="A665" s="145"/>
    </row>
    <row r="666" customFormat="false" ht="15.75" hidden="false" customHeight="true" outlineLevel="0" collapsed="false">
      <c r="A666" s="145"/>
    </row>
    <row r="667" customFormat="false" ht="15.75" hidden="false" customHeight="true" outlineLevel="0" collapsed="false">
      <c r="A667" s="145"/>
    </row>
    <row r="668" customFormat="false" ht="15.75" hidden="false" customHeight="true" outlineLevel="0" collapsed="false">
      <c r="A668" s="145"/>
    </row>
    <row r="669" customFormat="false" ht="15.75" hidden="false" customHeight="true" outlineLevel="0" collapsed="false">
      <c r="A669" s="145"/>
    </row>
    <row r="670" customFormat="false" ht="15.75" hidden="false" customHeight="true" outlineLevel="0" collapsed="false">
      <c r="A670" s="145"/>
    </row>
    <row r="671" customFormat="false" ht="15.75" hidden="false" customHeight="true" outlineLevel="0" collapsed="false">
      <c r="A671" s="145"/>
    </row>
    <row r="672" customFormat="false" ht="15.75" hidden="false" customHeight="true" outlineLevel="0" collapsed="false">
      <c r="A672" s="145"/>
    </row>
    <row r="673" customFormat="false" ht="15.75" hidden="false" customHeight="true" outlineLevel="0" collapsed="false">
      <c r="A673" s="145"/>
    </row>
    <row r="674" customFormat="false" ht="15.75" hidden="false" customHeight="true" outlineLevel="0" collapsed="false">
      <c r="A674" s="145"/>
    </row>
    <row r="675" customFormat="false" ht="15.75" hidden="false" customHeight="true" outlineLevel="0" collapsed="false">
      <c r="A675" s="145"/>
    </row>
    <row r="676" customFormat="false" ht="15.75" hidden="false" customHeight="true" outlineLevel="0" collapsed="false">
      <c r="A676" s="145"/>
    </row>
    <row r="677" customFormat="false" ht="15.75" hidden="false" customHeight="true" outlineLevel="0" collapsed="false">
      <c r="A677" s="145"/>
    </row>
    <row r="678" customFormat="false" ht="15.75" hidden="false" customHeight="true" outlineLevel="0" collapsed="false">
      <c r="A678" s="145"/>
    </row>
    <row r="679" customFormat="false" ht="15.75" hidden="false" customHeight="true" outlineLevel="0" collapsed="false">
      <c r="A679" s="145"/>
    </row>
    <row r="680" customFormat="false" ht="15.75" hidden="false" customHeight="true" outlineLevel="0" collapsed="false">
      <c r="A680" s="145"/>
    </row>
    <row r="681" customFormat="false" ht="15.75" hidden="false" customHeight="true" outlineLevel="0" collapsed="false">
      <c r="A681" s="145"/>
    </row>
    <row r="682" customFormat="false" ht="15.75" hidden="false" customHeight="true" outlineLevel="0" collapsed="false">
      <c r="A682" s="145"/>
    </row>
    <row r="683" customFormat="false" ht="15.75" hidden="false" customHeight="true" outlineLevel="0" collapsed="false">
      <c r="A683" s="145"/>
    </row>
    <row r="684" customFormat="false" ht="15.75" hidden="false" customHeight="true" outlineLevel="0" collapsed="false">
      <c r="A684" s="145"/>
    </row>
    <row r="685" customFormat="false" ht="15.75" hidden="false" customHeight="true" outlineLevel="0" collapsed="false">
      <c r="A685" s="145"/>
    </row>
    <row r="686" customFormat="false" ht="15.75" hidden="false" customHeight="true" outlineLevel="0" collapsed="false">
      <c r="A686" s="145"/>
    </row>
    <row r="687" customFormat="false" ht="15.75" hidden="false" customHeight="true" outlineLevel="0" collapsed="false">
      <c r="A687" s="145"/>
    </row>
    <row r="688" customFormat="false" ht="15.75" hidden="false" customHeight="true" outlineLevel="0" collapsed="false">
      <c r="A688" s="145"/>
    </row>
    <row r="689" customFormat="false" ht="15.75" hidden="false" customHeight="true" outlineLevel="0" collapsed="false">
      <c r="A689" s="145"/>
    </row>
    <row r="690" customFormat="false" ht="15.75" hidden="false" customHeight="true" outlineLevel="0" collapsed="false">
      <c r="A690" s="145"/>
    </row>
    <row r="691" customFormat="false" ht="15.75" hidden="false" customHeight="true" outlineLevel="0" collapsed="false">
      <c r="A691" s="145"/>
    </row>
    <row r="692" customFormat="false" ht="15.75" hidden="false" customHeight="true" outlineLevel="0" collapsed="false">
      <c r="A692" s="145"/>
    </row>
    <row r="693" customFormat="false" ht="15.75" hidden="false" customHeight="true" outlineLevel="0" collapsed="false">
      <c r="A693" s="145"/>
    </row>
    <row r="694" customFormat="false" ht="15.75" hidden="false" customHeight="true" outlineLevel="0" collapsed="false">
      <c r="A694" s="145"/>
    </row>
    <row r="695" customFormat="false" ht="15.75" hidden="false" customHeight="true" outlineLevel="0" collapsed="false">
      <c r="A695" s="145"/>
    </row>
    <row r="696" customFormat="false" ht="15.75" hidden="false" customHeight="true" outlineLevel="0" collapsed="false">
      <c r="A696" s="145"/>
    </row>
    <row r="697" customFormat="false" ht="15.75" hidden="false" customHeight="true" outlineLevel="0" collapsed="false">
      <c r="A697" s="145"/>
    </row>
    <row r="698" customFormat="false" ht="15.75" hidden="false" customHeight="true" outlineLevel="0" collapsed="false">
      <c r="A698" s="145"/>
    </row>
    <row r="699" customFormat="false" ht="15.75" hidden="false" customHeight="true" outlineLevel="0" collapsed="false">
      <c r="A699" s="145"/>
    </row>
    <row r="700" customFormat="false" ht="15.75" hidden="false" customHeight="true" outlineLevel="0" collapsed="false">
      <c r="A700" s="145"/>
    </row>
    <row r="701" customFormat="false" ht="15.75" hidden="false" customHeight="true" outlineLevel="0" collapsed="false">
      <c r="A701" s="145"/>
    </row>
    <row r="702" customFormat="false" ht="15.75" hidden="false" customHeight="true" outlineLevel="0" collapsed="false">
      <c r="A702" s="145"/>
    </row>
    <row r="703" customFormat="false" ht="15.75" hidden="false" customHeight="true" outlineLevel="0" collapsed="false">
      <c r="A703" s="145"/>
    </row>
    <row r="704" customFormat="false" ht="15.75" hidden="false" customHeight="true" outlineLevel="0" collapsed="false">
      <c r="A704" s="145"/>
    </row>
    <row r="705" customFormat="false" ht="15.75" hidden="false" customHeight="true" outlineLevel="0" collapsed="false">
      <c r="A705" s="145"/>
    </row>
    <row r="706" customFormat="false" ht="15.75" hidden="false" customHeight="true" outlineLevel="0" collapsed="false">
      <c r="A706" s="145"/>
    </row>
    <row r="707" customFormat="false" ht="15.75" hidden="false" customHeight="true" outlineLevel="0" collapsed="false">
      <c r="A707" s="145"/>
    </row>
    <row r="708" customFormat="false" ht="15.75" hidden="false" customHeight="true" outlineLevel="0" collapsed="false">
      <c r="A708" s="145"/>
    </row>
    <row r="709" customFormat="false" ht="15.75" hidden="false" customHeight="true" outlineLevel="0" collapsed="false">
      <c r="A709" s="145"/>
    </row>
    <row r="710" customFormat="false" ht="15.75" hidden="false" customHeight="true" outlineLevel="0" collapsed="false">
      <c r="A710" s="145"/>
    </row>
    <row r="711" customFormat="false" ht="15.75" hidden="false" customHeight="true" outlineLevel="0" collapsed="false">
      <c r="A711" s="145"/>
    </row>
    <row r="712" customFormat="false" ht="15.75" hidden="false" customHeight="true" outlineLevel="0" collapsed="false">
      <c r="A712" s="145"/>
    </row>
    <row r="713" customFormat="false" ht="15.75" hidden="false" customHeight="true" outlineLevel="0" collapsed="false">
      <c r="A713" s="145"/>
    </row>
    <row r="714" customFormat="false" ht="15.75" hidden="false" customHeight="true" outlineLevel="0" collapsed="false">
      <c r="A714" s="145"/>
    </row>
    <row r="715" customFormat="false" ht="15.75" hidden="false" customHeight="true" outlineLevel="0" collapsed="false">
      <c r="A715" s="145"/>
    </row>
    <row r="716" customFormat="false" ht="15.75" hidden="false" customHeight="true" outlineLevel="0" collapsed="false">
      <c r="A716" s="145"/>
    </row>
    <row r="717" customFormat="false" ht="15.75" hidden="false" customHeight="true" outlineLevel="0" collapsed="false">
      <c r="A717" s="145"/>
    </row>
    <row r="718" customFormat="false" ht="15.75" hidden="false" customHeight="true" outlineLevel="0" collapsed="false">
      <c r="A718" s="145"/>
    </row>
    <row r="719" customFormat="false" ht="15.75" hidden="false" customHeight="true" outlineLevel="0" collapsed="false">
      <c r="A719" s="145"/>
    </row>
    <row r="720" customFormat="false" ht="15.75" hidden="false" customHeight="true" outlineLevel="0" collapsed="false">
      <c r="A720" s="145"/>
    </row>
    <row r="721" customFormat="false" ht="15.75" hidden="false" customHeight="true" outlineLevel="0" collapsed="false">
      <c r="A721" s="145"/>
    </row>
    <row r="722" customFormat="false" ht="15.75" hidden="false" customHeight="true" outlineLevel="0" collapsed="false">
      <c r="A722" s="145"/>
    </row>
    <row r="723" customFormat="false" ht="15.75" hidden="false" customHeight="true" outlineLevel="0" collapsed="false">
      <c r="A723" s="145"/>
    </row>
    <row r="724" customFormat="false" ht="15.75" hidden="false" customHeight="true" outlineLevel="0" collapsed="false">
      <c r="A724" s="145"/>
    </row>
    <row r="725" customFormat="false" ht="15.75" hidden="false" customHeight="true" outlineLevel="0" collapsed="false">
      <c r="A725" s="145"/>
    </row>
    <row r="726" customFormat="false" ht="15.75" hidden="false" customHeight="true" outlineLevel="0" collapsed="false">
      <c r="A726" s="145"/>
    </row>
    <row r="727" customFormat="false" ht="15.75" hidden="false" customHeight="true" outlineLevel="0" collapsed="false">
      <c r="A727" s="145"/>
    </row>
    <row r="728" customFormat="false" ht="15.75" hidden="false" customHeight="true" outlineLevel="0" collapsed="false">
      <c r="A728" s="145"/>
    </row>
    <row r="729" customFormat="false" ht="15.75" hidden="false" customHeight="true" outlineLevel="0" collapsed="false">
      <c r="A729" s="145"/>
    </row>
    <row r="730" customFormat="false" ht="15.75" hidden="false" customHeight="true" outlineLevel="0" collapsed="false">
      <c r="A730" s="145"/>
    </row>
    <row r="731" customFormat="false" ht="15.75" hidden="false" customHeight="true" outlineLevel="0" collapsed="false">
      <c r="A731" s="145"/>
    </row>
    <row r="732" customFormat="false" ht="15.75" hidden="false" customHeight="true" outlineLevel="0" collapsed="false">
      <c r="A732" s="145"/>
    </row>
    <row r="733" customFormat="false" ht="15.75" hidden="false" customHeight="true" outlineLevel="0" collapsed="false">
      <c r="A733" s="145"/>
    </row>
    <row r="734" customFormat="false" ht="15.75" hidden="false" customHeight="true" outlineLevel="0" collapsed="false">
      <c r="A734" s="145"/>
    </row>
    <row r="735" customFormat="false" ht="15.75" hidden="false" customHeight="true" outlineLevel="0" collapsed="false">
      <c r="A735" s="145"/>
    </row>
    <row r="736" customFormat="false" ht="15.75" hidden="false" customHeight="true" outlineLevel="0" collapsed="false">
      <c r="A736" s="145"/>
    </row>
    <row r="737" customFormat="false" ht="15.75" hidden="false" customHeight="true" outlineLevel="0" collapsed="false">
      <c r="A737" s="145"/>
    </row>
    <row r="738" customFormat="false" ht="15.75" hidden="false" customHeight="true" outlineLevel="0" collapsed="false">
      <c r="A738" s="145"/>
    </row>
    <row r="739" customFormat="false" ht="15.75" hidden="false" customHeight="true" outlineLevel="0" collapsed="false">
      <c r="A739" s="145"/>
    </row>
    <row r="740" customFormat="false" ht="15.75" hidden="false" customHeight="true" outlineLevel="0" collapsed="false">
      <c r="A740" s="145"/>
    </row>
    <row r="741" customFormat="false" ht="15.75" hidden="false" customHeight="true" outlineLevel="0" collapsed="false">
      <c r="A741" s="145"/>
    </row>
    <row r="742" customFormat="false" ht="15.75" hidden="false" customHeight="true" outlineLevel="0" collapsed="false">
      <c r="A742" s="145"/>
    </row>
    <row r="743" customFormat="false" ht="15.75" hidden="false" customHeight="true" outlineLevel="0" collapsed="false">
      <c r="A743" s="145"/>
    </row>
    <row r="744" customFormat="false" ht="15.75" hidden="false" customHeight="true" outlineLevel="0" collapsed="false">
      <c r="A744" s="145"/>
    </row>
    <row r="745" customFormat="false" ht="15.75" hidden="false" customHeight="true" outlineLevel="0" collapsed="false">
      <c r="A745" s="145"/>
    </row>
    <row r="746" customFormat="false" ht="15.75" hidden="false" customHeight="true" outlineLevel="0" collapsed="false">
      <c r="A746" s="145"/>
    </row>
    <row r="747" customFormat="false" ht="15.75" hidden="false" customHeight="true" outlineLevel="0" collapsed="false">
      <c r="A747" s="145"/>
    </row>
    <row r="748" customFormat="false" ht="15.75" hidden="false" customHeight="true" outlineLevel="0" collapsed="false">
      <c r="A748" s="145"/>
    </row>
    <row r="749" customFormat="false" ht="15.75" hidden="false" customHeight="true" outlineLevel="0" collapsed="false">
      <c r="A749" s="145"/>
    </row>
    <row r="750" customFormat="false" ht="15.75" hidden="false" customHeight="true" outlineLevel="0" collapsed="false">
      <c r="A750" s="145"/>
    </row>
    <row r="751" customFormat="false" ht="15.75" hidden="false" customHeight="true" outlineLevel="0" collapsed="false">
      <c r="A751" s="145"/>
    </row>
    <row r="752" customFormat="false" ht="15.75" hidden="false" customHeight="true" outlineLevel="0" collapsed="false">
      <c r="A752" s="145"/>
    </row>
    <row r="753" customFormat="false" ht="15.75" hidden="false" customHeight="true" outlineLevel="0" collapsed="false">
      <c r="A753" s="145"/>
    </row>
    <row r="754" customFormat="false" ht="15.75" hidden="false" customHeight="true" outlineLevel="0" collapsed="false">
      <c r="A754" s="145"/>
    </row>
    <row r="755" customFormat="false" ht="15.75" hidden="false" customHeight="true" outlineLevel="0" collapsed="false">
      <c r="A755" s="145"/>
    </row>
    <row r="756" customFormat="false" ht="15.75" hidden="false" customHeight="true" outlineLevel="0" collapsed="false">
      <c r="A756" s="145"/>
    </row>
    <row r="757" customFormat="false" ht="15.75" hidden="false" customHeight="true" outlineLevel="0" collapsed="false">
      <c r="A757" s="145"/>
    </row>
    <row r="758" customFormat="false" ht="15.75" hidden="false" customHeight="true" outlineLevel="0" collapsed="false">
      <c r="A758" s="145"/>
    </row>
    <row r="759" customFormat="false" ht="15.75" hidden="false" customHeight="true" outlineLevel="0" collapsed="false">
      <c r="A759" s="145"/>
    </row>
    <row r="760" customFormat="false" ht="15.75" hidden="false" customHeight="true" outlineLevel="0" collapsed="false">
      <c r="A760" s="145"/>
    </row>
    <row r="761" customFormat="false" ht="15.75" hidden="false" customHeight="true" outlineLevel="0" collapsed="false">
      <c r="A761" s="145"/>
    </row>
    <row r="762" customFormat="false" ht="15.75" hidden="false" customHeight="true" outlineLevel="0" collapsed="false">
      <c r="A762" s="145"/>
    </row>
    <row r="763" customFormat="false" ht="15.75" hidden="false" customHeight="true" outlineLevel="0" collapsed="false">
      <c r="A763" s="145"/>
    </row>
    <row r="764" customFormat="false" ht="15.75" hidden="false" customHeight="true" outlineLevel="0" collapsed="false">
      <c r="A764" s="145"/>
    </row>
    <row r="765" customFormat="false" ht="15.75" hidden="false" customHeight="true" outlineLevel="0" collapsed="false">
      <c r="A765" s="145"/>
    </row>
    <row r="766" customFormat="false" ht="15.75" hidden="false" customHeight="true" outlineLevel="0" collapsed="false">
      <c r="A766" s="145"/>
    </row>
    <row r="767" customFormat="false" ht="15.75" hidden="false" customHeight="true" outlineLevel="0" collapsed="false">
      <c r="A767" s="145"/>
    </row>
    <row r="768" customFormat="false" ht="15.75" hidden="false" customHeight="true" outlineLevel="0" collapsed="false">
      <c r="A768" s="145"/>
    </row>
    <row r="769" customFormat="false" ht="15.75" hidden="false" customHeight="true" outlineLevel="0" collapsed="false">
      <c r="A769" s="145"/>
    </row>
    <row r="770" customFormat="false" ht="15.75" hidden="false" customHeight="true" outlineLevel="0" collapsed="false">
      <c r="A770" s="145"/>
    </row>
    <row r="771" customFormat="false" ht="15.75" hidden="false" customHeight="true" outlineLevel="0" collapsed="false">
      <c r="A771" s="145"/>
    </row>
    <row r="772" customFormat="false" ht="15.75" hidden="false" customHeight="true" outlineLevel="0" collapsed="false">
      <c r="A772" s="145"/>
    </row>
    <row r="773" customFormat="false" ht="15.75" hidden="false" customHeight="true" outlineLevel="0" collapsed="false">
      <c r="A773" s="145"/>
    </row>
    <row r="774" customFormat="false" ht="15.75" hidden="false" customHeight="true" outlineLevel="0" collapsed="false">
      <c r="A774" s="145"/>
    </row>
    <row r="775" customFormat="false" ht="15.75" hidden="false" customHeight="true" outlineLevel="0" collapsed="false">
      <c r="A775" s="145"/>
    </row>
    <row r="776" customFormat="false" ht="15.75" hidden="false" customHeight="true" outlineLevel="0" collapsed="false">
      <c r="A776" s="145"/>
    </row>
    <row r="777" customFormat="false" ht="15.75" hidden="false" customHeight="true" outlineLevel="0" collapsed="false">
      <c r="A777" s="145"/>
    </row>
    <row r="778" customFormat="false" ht="15.75" hidden="false" customHeight="true" outlineLevel="0" collapsed="false">
      <c r="A778" s="145"/>
    </row>
    <row r="779" customFormat="false" ht="15.75" hidden="false" customHeight="true" outlineLevel="0" collapsed="false">
      <c r="A779" s="145"/>
    </row>
    <row r="780" customFormat="false" ht="15.75" hidden="false" customHeight="true" outlineLevel="0" collapsed="false">
      <c r="A780" s="145"/>
    </row>
    <row r="781" customFormat="false" ht="15.75" hidden="false" customHeight="true" outlineLevel="0" collapsed="false">
      <c r="A781" s="145"/>
    </row>
    <row r="782" customFormat="false" ht="15.75" hidden="false" customHeight="true" outlineLevel="0" collapsed="false">
      <c r="A782" s="145"/>
    </row>
    <row r="783" customFormat="false" ht="15.75" hidden="false" customHeight="true" outlineLevel="0" collapsed="false">
      <c r="A783" s="145"/>
    </row>
    <row r="784" customFormat="false" ht="15.75" hidden="false" customHeight="true" outlineLevel="0" collapsed="false">
      <c r="A784" s="145"/>
    </row>
    <row r="785" customFormat="false" ht="15.75" hidden="false" customHeight="true" outlineLevel="0" collapsed="false">
      <c r="A785" s="145"/>
    </row>
    <row r="786" customFormat="false" ht="15.75" hidden="false" customHeight="true" outlineLevel="0" collapsed="false">
      <c r="A786" s="145"/>
    </row>
    <row r="787" customFormat="false" ht="15.75" hidden="false" customHeight="true" outlineLevel="0" collapsed="false">
      <c r="A787" s="145"/>
    </row>
    <row r="788" customFormat="false" ht="15.75" hidden="false" customHeight="true" outlineLevel="0" collapsed="false">
      <c r="A788" s="145"/>
    </row>
    <row r="789" customFormat="false" ht="15.75" hidden="false" customHeight="true" outlineLevel="0" collapsed="false">
      <c r="A789" s="145"/>
    </row>
    <row r="790" customFormat="false" ht="15.75" hidden="false" customHeight="true" outlineLevel="0" collapsed="false">
      <c r="A790" s="145"/>
    </row>
    <row r="791" customFormat="false" ht="15.75" hidden="false" customHeight="true" outlineLevel="0" collapsed="false">
      <c r="A791" s="145"/>
    </row>
    <row r="792" customFormat="false" ht="15.75" hidden="false" customHeight="true" outlineLevel="0" collapsed="false">
      <c r="A792" s="145"/>
    </row>
    <row r="793" customFormat="false" ht="15.75" hidden="false" customHeight="true" outlineLevel="0" collapsed="false">
      <c r="A793" s="145"/>
    </row>
    <row r="794" customFormat="false" ht="15.75" hidden="false" customHeight="true" outlineLevel="0" collapsed="false">
      <c r="A794" s="145"/>
    </row>
    <row r="795" customFormat="false" ht="15.75" hidden="false" customHeight="true" outlineLevel="0" collapsed="false">
      <c r="A795" s="145"/>
    </row>
    <row r="796" customFormat="false" ht="15.75" hidden="false" customHeight="true" outlineLevel="0" collapsed="false">
      <c r="A796" s="145"/>
    </row>
    <row r="797" customFormat="false" ht="15.75" hidden="false" customHeight="true" outlineLevel="0" collapsed="false">
      <c r="A797" s="145"/>
    </row>
    <row r="798" customFormat="false" ht="15.75" hidden="false" customHeight="true" outlineLevel="0" collapsed="false">
      <c r="A798" s="145"/>
    </row>
    <row r="799" customFormat="false" ht="15.75" hidden="false" customHeight="true" outlineLevel="0" collapsed="false">
      <c r="A799" s="145"/>
    </row>
    <row r="800" customFormat="false" ht="15.75" hidden="false" customHeight="true" outlineLevel="0" collapsed="false">
      <c r="A800" s="145"/>
    </row>
    <row r="801" customFormat="false" ht="15.75" hidden="false" customHeight="true" outlineLevel="0" collapsed="false">
      <c r="A801" s="145"/>
    </row>
    <row r="802" customFormat="false" ht="15.75" hidden="false" customHeight="true" outlineLevel="0" collapsed="false">
      <c r="A802" s="145"/>
    </row>
    <row r="803" customFormat="false" ht="15.75" hidden="false" customHeight="true" outlineLevel="0" collapsed="false">
      <c r="A803" s="145"/>
    </row>
    <row r="804" customFormat="false" ht="15.75" hidden="false" customHeight="true" outlineLevel="0" collapsed="false">
      <c r="A804" s="145"/>
    </row>
    <row r="805" customFormat="false" ht="15.75" hidden="false" customHeight="true" outlineLevel="0" collapsed="false">
      <c r="A805" s="145"/>
    </row>
    <row r="806" customFormat="false" ht="15.75" hidden="false" customHeight="true" outlineLevel="0" collapsed="false">
      <c r="A806" s="145"/>
    </row>
    <row r="807" customFormat="false" ht="15.75" hidden="false" customHeight="true" outlineLevel="0" collapsed="false">
      <c r="A807" s="145"/>
    </row>
    <row r="808" customFormat="false" ht="15.75" hidden="false" customHeight="true" outlineLevel="0" collapsed="false">
      <c r="A808" s="145"/>
    </row>
    <row r="809" customFormat="false" ht="15.75" hidden="false" customHeight="true" outlineLevel="0" collapsed="false">
      <c r="A809" s="145"/>
    </row>
    <row r="810" customFormat="false" ht="15.75" hidden="false" customHeight="true" outlineLevel="0" collapsed="false">
      <c r="A810" s="145"/>
    </row>
    <row r="811" customFormat="false" ht="15.75" hidden="false" customHeight="true" outlineLevel="0" collapsed="false">
      <c r="A811" s="145"/>
    </row>
    <row r="812" customFormat="false" ht="15.75" hidden="false" customHeight="true" outlineLevel="0" collapsed="false">
      <c r="A812" s="145"/>
    </row>
    <row r="813" customFormat="false" ht="15.75" hidden="false" customHeight="true" outlineLevel="0" collapsed="false">
      <c r="A813" s="145"/>
    </row>
    <row r="814" customFormat="false" ht="15.75" hidden="false" customHeight="true" outlineLevel="0" collapsed="false">
      <c r="A814" s="145"/>
    </row>
    <row r="815" customFormat="false" ht="15.75" hidden="false" customHeight="true" outlineLevel="0" collapsed="false">
      <c r="A815" s="145"/>
    </row>
    <row r="816" customFormat="false" ht="15.75" hidden="false" customHeight="true" outlineLevel="0" collapsed="false">
      <c r="A816" s="145"/>
    </row>
    <row r="817" customFormat="false" ht="15.75" hidden="false" customHeight="true" outlineLevel="0" collapsed="false">
      <c r="A817" s="145"/>
    </row>
    <row r="818" customFormat="false" ht="15.75" hidden="false" customHeight="true" outlineLevel="0" collapsed="false">
      <c r="A818" s="145"/>
    </row>
    <row r="819" customFormat="false" ht="15.75" hidden="false" customHeight="true" outlineLevel="0" collapsed="false">
      <c r="A819" s="145"/>
    </row>
    <row r="820" customFormat="false" ht="15.75" hidden="false" customHeight="true" outlineLevel="0" collapsed="false">
      <c r="A820" s="145"/>
    </row>
    <row r="821" customFormat="false" ht="15.75" hidden="false" customHeight="true" outlineLevel="0" collapsed="false">
      <c r="A821" s="145"/>
    </row>
    <row r="822" customFormat="false" ht="15.75" hidden="false" customHeight="true" outlineLevel="0" collapsed="false">
      <c r="A822" s="145"/>
    </row>
    <row r="823" customFormat="false" ht="15.75" hidden="false" customHeight="true" outlineLevel="0" collapsed="false">
      <c r="A823" s="145"/>
    </row>
    <row r="824" customFormat="false" ht="15.75" hidden="false" customHeight="true" outlineLevel="0" collapsed="false">
      <c r="A824" s="145"/>
    </row>
    <row r="825" customFormat="false" ht="15.75" hidden="false" customHeight="true" outlineLevel="0" collapsed="false">
      <c r="A825" s="145"/>
    </row>
    <row r="826" customFormat="false" ht="15.75" hidden="false" customHeight="true" outlineLevel="0" collapsed="false">
      <c r="A826" s="145"/>
    </row>
    <row r="827" customFormat="false" ht="15.75" hidden="false" customHeight="true" outlineLevel="0" collapsed="false">
      <c r="A827" s="145"/>
    </row>
    <row r="828" customFormat="false" ht="15.75" hidden="false" customHeight="true" outlineLevel="0" collapsed="false">
      <c r="A828" s="145"/>
    </row>
    <row r="829" customFormat="false" ht="15.75" hidden="false" customHeight="true" outlineLevel="0" collapsed="false">
      <c r="A829" s="145"/>
    </row>
    <row r="830" customFormat="false" ht="15.75" hidden="false" customHeight="true" outlineLevel="0" collapsed="false">
      <c r="A830" s="145"/>
    </row>
    <row r="831" customFormat="false" ht="15.75" hidden="false" customHeight="true" outlineLevel="0" collapsed="false">
      <c r="A831" s="145"/>
    </row>
    <row r="832" customFormat="false" ht="15.75" hidden="false" customHeight="true" outlineLevel="0" collapsed="false">
      <c r="A832" s="145"/>
    </row>
    <row r="833" customFormat="false" ht="15.75" hidden="false" customHeight="true" outlineLevel="0" collapsed="false">
      <c r="A833" s="145"/>
    </row>
    <row r="834" customFormat="false" ht="15.75" hidden="false" customHeight="true" outlineLevel="0" collapsed="false">
      <c r="A834" s="145"/>
    </row>
    <row r="835" customFormat="false" ht="15.75" hidden="false" customHeight="true" outlineLevel="0" collapsed="false">
      <c r="A835" s="145"/>
    </row>
    <row r="836" customFormat="false" ht="15.75" hidden="false" customHeight="true" outlineLevel="0" collapsed="false">
      <c r="A836" s="145"/>
    </row>
    <row r="837" customFormat="false" ht="15.75" hidden="false" customHeight="true" outlineLevel="0" collapsed="false">
      <c r="A837" s="145"/>
    </row>
    <row r="838" customFormat="false" ht="15.75" hidden="false" customHeight="true" outlineLevel="0" collapsed="false">
      <c r="A838" s="145"/>
    </row>
    <row r="839" customFormat="false" ht="15.75" hidden="false" customHeight="true" outlineLevel="0" collapsed="false">
      <c r="A839" s="145"/>
    </row>
    <row r="840" customFormat="false" ht="15.75" hidden="false" customHeight="true" outlineLevel="0" collapsed="false">
      <c r="A840" s="145"/>
    </row>
    <row r="841" customFormat="false" ht="15.75" hidden="false" customHeight="true" outlineLevel="0" collapsed="false">
      <c r="A841" s="145"/>
    </row>
    <row r="842" customFormat="false" ht="15.75" hidden="false" customHeight="true" outlineLevel="0" collapsed="false">
      <c r="A842" s="145"/>
    </row>
    <row r="843" customFormat="false" ht="15.75" hidden="false" customHeight="true" outlineLevel="0" collapsed="false">
      <c r="A843" s="145"/>
    </row>
    <row r="844" customFormat="false" ht="15.75" hidden="false" customHeight="true" outlineLevel="0" collapsed="false">
      <c r="A844" s="145"/>
    </row>
    <row r="845" customFormat="false" ht="15.75" hidden="false" customHeight="true" outlineLevel="0" collapsed="false">
      <c r="A845" s="145"/>
    </row>
    <row r="846" customFormat="false" ht="15.75" hidden="false" customHeight="true" outlineLevel="0" collapsed="false">
      <c r="A846" s="145"/>
    </row>
    <row r="847" customFormat="false" ht="15.75" hidden="false" customHeight="true" outlineLevel="0" collapsed="false">
      <c r="A847" s="145"/>
    </row>
    <row r="848" customFormat="false" ht="15.75" hidden="false" customHeight="true" outlineLevel="0" collapsed="false">
      <c r="A848" s="145"/>
    </row>
    <row r="849" customFormat="false" ht="15.75" hidden="false" customHeight="true" outlineLevel="0" collapsed="false">
      <c r="A849" s="145"/>
    </row>
    <row r="850" customFormat="false" ht="15.75" hidden="false" customHeight="true" outlineLevel="0" collapsed="false">
      <c r="A850" s="145"/>
    </row>
    <row r="851" customFormat="false" ht="15.75" hidden="false" customHeight="true" outlineLevel="0" collapsed="false">
      <c r="A851" s="145"/>
    </row>
    <row r="852" customFormat="false" ht="15.75" hidden="false" customHeight="true" outlineLevel="0" collapsed="false">
      <c r="A852" s="145"/>
    </row>
    <row r="853" customFormat="false" ht="15.75" hidden="false" customHeight="true" outlineLevel="0" collapsed="false">
      <c r="A853" s="145"/>
    </row>
    <row r="854" customFormat="false" ht="15.75" hidden="false" customHeight="true" outlineLevel="0" collapsed="false">
      <c r="A854" s="145"/>
    </row>
    <row r="855" customFormat="false" ht="15.75" hidden="false" customHeight="true" outlineLevel="0" collapsed="false">
      <c r="A855" s="145"/>
    </row>
    <row r="856" customFormat="false" ht="15.75" hidden="false" customHeight="true" outlineLevel="0" collapsed="false">
      <c r="A856" s="145"/>
    </row>
    <row r="857" customFormat="false" ht="15.75" hidden="false" customHeight="true" outlineLevel="0" collapsed="false">
      <c r="A857" s="145"/>
    </row>
    <row r="858" customFormat="false" ht="15.75" hidden="false" customHeight="true" outlineLevel="0" collapsed="false">
      <c r="A858" s="145"/>
    </row>
    <row r="859" customFormat="false" ht="15.75" hidden="false" customHeight="true" outlineLevel="0" collapsed="false">
      <c r="A859" s="145"/>
    </row>
    <row r="860" customFormat="false" ht="15.75" hidden="false" customHeight="true" outlineLevel="0" collapsed="false">
      <c r="A860" s="145"/>
    </row>
    <row r="861" customFormat="false" ht="15.75" hidden="false" customHeight="true" outlineLevel="0" collapsed="false">
      <c r="A861" s="145"/>
    </row>
    <row r="862" customFormat="false" ht="15.75" hidden="false" customHeight="true" outlineLevel="0" collapsed="false">
      <c r="A862" s="145"/>
    </row>
    <row r="863" customFormat="false" ht="15.75" hidden="false" customHeight="true" outlineLevel="0" collapsed="false">
      <c r="A863" s="145"/>
    </row>
    <row r="864" customFormat="false" ht="15.75" hidden="false" customHeight="true" outlineLevel="0" collapsed="false">
      <c r="A864" s="145"/>
    </row>
    <row r="865" customFormat="false" ht="15.75" hidden="false" customHeight="true" outlineLevel="0" collapsed="false">
      <c r="A865" s="145"/>
    </row>
    <row r="866" customFormat="false" ht="15.75" hidden="false" customHeight="true" outlineLevel="0" collapsed="false">
      <c r="A866" s="145"/>
    </row>
    <row r="867" customFormat="false" ht="15.75" hidden="false" customHeight="true" outlineLevel="0" collapsed="false">
      <c r="A867" s="145"/>
    </row>
    <row r="868" customFormat="false" ht="15.75" hidden="false" customHeight="true" outlineLevel="0" collapsed="false">
      <c r="A868" s="145"/>
    </row>
    <row r="869" customFormat="false" ht="15.75" hidden="false" customHeight="true" outlineLevel="0" collapsed="false">
      <c r="A869" s="145"/>
    </row>
    <row r="870" customFormat="false" ht="15.75" hidden="false" customHeight="true" outlineLevel="0" collapsed="false">
      <c r="A870" s="145"/>
    </row>
    <row r="871" customFormat="false" ht="15.75" hidden="false" customHeight="true" outlineLevel="0" collapsed="false">
      <c r="A871" s="145"/>
    </row>
    <row r="872" customFormat="false" ht="15.75" hidden="false" customHeight="true" outlineLevel="0" collapsed="false">
      <c r="A872" s="145"/>
    </row>
    <row r="873" customFormat="false" ht="15.75" hidden="false" customHeight="true" outlineLevel="0" collapsed="false">
      <c r="A873" s="145"/>
    </row>
    <row r="874" customFormat="false" ht="15.75" hidden="false" customHeight="true" outlineLevel="0" collapsed="false">
      <c r="A874" s="145"/>
    </row>
    <row r="875" customFormat="false" ht="15.75" hidden="false" customHeight="true" outlineLevel="0" collapsed="false">
      <c r="A875" s="145"/>
    </row>
    <row r="876" customFormat="false" ht="15.75" hidden="false" customHeight="true" outlineLevel="0" collapsed="false">
      <c r="A876" s="145"/>
    </row>
    <row r="877" customFormat="false" ht="15.75" hidden="false" customHeight="true" outlineLevel="0" collapsed="false">
      <c r="A877" s="145"/>
    </row>
    <row r="878" customFormat="false" ht="15.75" hidden="false" customHeight="true" outlineLevel="0" collapsed="false">
      <c r="A878" s="145"/>
    </row>
    <row r="879" customFormat="false" ht="15.75" hidden="false" customHeight="true" outlineLevel="0" collapsed="false">
      <c r="A879" s="145"/>
    </row>
    <row r="880" customFormat="false" ht="15.75" hidden="false" customHeight="true" outlineLevel="0" collapsed="false">
      <c r="A880" s="145"/>
    </row>
    <row r="881" customFormat="false" ht="15.75" hidden="false" customHeight="true" outlineLevel="0" collapsed="false">
      <c r="A881" s="145"/>
    </row>
    <row r="882" customFormat="false" ht="15.75" hidden="false" customHeight="true" outlineLevel="0" collapsed="false">
      <c r="A882" s="145"/>
    </row>
    <row r="883" customFormat="false" ht="15.75" hidden="false" customHeight="true" outlineLevel="0" collapsed="false">
      <c r="A883" s="145"/>
    </row>
    <row r="884" customFormat="false" ht="15.75" hidden="false" customHeight="true" outlineLevel="0" collapsed="false">
      <c r="A884" s="145"/>
    </row>
    <row r="885" customFormat="false" ht="15.75" hidden="false" customHeight="true" outlineLevel="0" collapsed="false">
      <c r="A885" s="145"/>
    </row>
    <row r="886" customFormat="false" ht="15.75" hidden="false" customHeight="true" outlineLevel="0" collapsed="false">
      <c r="A886" s="145"/>
    </row>
    <row r="887" customFormat="false" ht="15.75" hidden="false" customHeight="true" outlineLevel="0" collapsed="false">
      <c r="A887" s="145"/>
    </row>
    <row r="888" customFormat="false" ht="15.75" hidden="false" customHeight="true" outlineLevel="0" collapsed="false">
      <c r="A888" s="145"/>
    </row>
    <row r="889" customFormat="false" ht="15.75" hidden="false" customHeight="true" outlineLevel="0" collapsed="false">
      <c r="A889" s="145"/>
    </row>
    <row r="890" customFormat="false" ht="15.75" hidden="false" customHeight="true" outlineLevel="0" collapsed="false">
      <c r="A890" s="145"/>
    </row>
    <row r="891" customFormat="false" ht="15.75" hidden="false" customHeight="true" outlineLevel="0" collapsed="false">
      <c r="A891" s="145"/>
    </row>
    <row r="892" customFormat="false" ht="15.75" hidden="false" customHeight="true" outlineLevel="0" collapsed="false">
      <c r="A892" s="145"/>
    </row>
    <row r="893" customFormat="false" ht="15.75" hidden="false" customHeight="true" outlineLevel="0" collapsed="false">
      <c r="A893" s="145"/>
    </row>
    <row r="894" customFormat="false" ht="15.75" hidden="false" customHeight="true" outlineLevel="0" collapsed="false">
      <c r="A894" s="145"/>
    </row>
    <row r="895" customFormat="false" ht="15.75" hidden="false" customHeight="true" outlineLevel="0" collapsed="false">
      <c r="A895" s="145"/>
    </row>
    <row r="896" customFormat="false" ht="15.75" hidden="false" customHeight="true" outlineLevel="0" collapsed="false">
      <c r="A896" s="145"/>
    </row>
    <row r="897" customFormat="false" ht="15.75" hidden="false" customHeight="true" outlineLevel="0" collapsed="false">
      <c r="A897" s="145"/>
    </row>
    <row r="898" customFormat="false" ht="15.75" hidden="false" customHeight="true" outlineLevel="0" collapsed="false">
      <c r="A898" s="145"/>
    </row>
    <row r="899" customFormat="false" ht="15.75" hidden="false" customHeight="true" outlineLevel="0" collapsed="false">
      <c r="A899" s="145"/>
    </row>
    <row r="900" customFormat="false" ht="15.75" hidden="false" customHeight="true" outlineLevel="0" collapsed="false">
      <c r="A900" s="145"/>
    </row>
    <row r="901" customFormat="false" ht="15.75" hidden="false" customHeight="true" outlineLevel="0" collapsed="false">
      <c r="A901" s="145"/>
    </row>
    <row r="902" customFormat="false" ht="15.75" hidden="false" customHeight="true" outlineLevel="0" collapsed="false">
      <c r="A902" s="145"/>
    </row>
    <row r="903" customFormat="false" ht="15.75" hidden="false" customHeight="true" outlineLevel="0" collapsed="false">
      <c r="A903" s="145"/>
    </row>
    <row r="904" customFormat="false" ht="15.75" hidden="false" customHeight="true" outlineLevel="0" collapsed="false">
      <c r="A904" s="145"/>
    </row>
    <row r="905" customFormat="false" ht="15.75" hidden="false" customHeight="true" outlineLevel="0" collapsed="false">
      <c r="A905" s="145"/>
    </row>
    <row r="906" customFormat="false" ht="15.75" hidden="false" customHeight="true" outlineLevel="0" collapsed="false">
      <c r="A906" s="145"/>
    </row>
    <row r="907" customFormat="false" ht="15.75" hidden="false" customHeight="true" outlineLevel="0" collapsed="false">
      <c r="A907" s="145"/>
    </row>
    <row r="908" customFormat="false" ht="15.75" hidden="false" customHeight="true" outlineLevel="0" collapsed="false">
      <c r="A908" s="145"/>
    </row>
    <row r="909" customFormat="false" ht="15.75" hidden="false" customHeight="true" outlineLevel="0" collapsed="false">
      <c r="A909" s="145"/>
    </row>
    <row r="910" customFormat="false" ht="15.75" hidden="false" customHeight="true" outlineLevel="0" collapsed="false">
      <c r="A910" s="145"/>
    </row>
    <row r="911" customFormat="false" ht="15.75" hidden="false" customHeight="true" outlineLevel="0" collapsed="false">
      <c r="A911" s="145"/>
    </row>
    <row r="912" customFormat="false" ht="15.75" hidden="false" customHeight="true" outlineLevel="0" collapsed="false">
      <c r="A912" s="145"/>
    </row>
    <row r="913" customFormat="false" ht="15.75" hidden="false" customHeight="true" outlineLevel="0" collapsed="false">
      <c r="A913" s="145"/>
    </row>
    <row r="914" customFormat="false" ht="15.75" hidden="false" customHeight="true" outlineLevel="0" collapsed="false">
      <c r="A914" s="145"/>
    </row>
    <row r="915" customFormat="false" ht="15.75" hidden="false" customHeight="true" outlineLevel="0" collapsed="false">
      <c r="A915" s="145"/>
    </row>
    <row r="916" customFormat="false" ht="15.75" hidden="false" customHeight="true" outlineLevel="0" collapsed="false">
      <c r="A916" s="145"/>
    </row>
    <row r="917" customFormat="false" ht="15.75" hidden="false" customHeight="true" outlineLevel="0" collapsed="false">
      <c r="A917" s="145"/>
    </row>
    <row r="918" customFormat="false" ht="15.75" hidden="false" customHeight="true" outlineLevel="0" collapsed="false">
      <c r="A918" s="145"/>
    </row>
    <row r="919" customFormat="false" ht="15.75" hidden="false" customHeight="true" outlineLevel="0" collapsed="false">
      <c r="A919" s="145"/>
    </row>
    <row r="920" customFormat="false" ht="15.75" hidden="false" customHeight="true" outlineLevel="0" collapsed="false">
      <c r="A920" s="145"/>
    </row>
    <row r="921" customFormat="false" ht="15.75" hidden="false" customHeight="true" outlineLevel="0" collapsed="false">
      <c r="A921" s="145"/>
    </row>
    <row r="922" customFormat="false" ht="15.75" hidden="false" customHeight="true" outlineLevel="0" collapsed="false">
      <c r="A922" s="145"/>
    </row>
    <row r="923" customFormat="false" ht="15.75" hidden="false" customHeight="true" outlineLevel="0" collapsed="false">
      <c r="A923" s="145"/>
    </row>
    <row r="924" customFormat="false" ht="15.75" hidden="false" customHeight="true" outlineLevel="0" collapsed="false">
      <c r="A924" s="145"/>
    </row>
    <row r="925" customFormat="false" ht="15.75" hidden="false" customHeight="true" outlineLevel="0" collapsed="false">
      <c r="A925" s="145"/>
    </row>
    <row r="926" customFormat="false" ht="15.75" hidden="false" customHeight="true" outlineLevel="0" collapsed="false">
      <c r="A926" s="145"/>
    </row>
    <row r="927" customFormat="false" ht="15.75" hidden="false" customHeight="true" outlineLevel="0" collapsed="false">
      <c r="A927" s="145"/>
    </row>
    <row r="928" customFormat="false" ht="15.75" hidden="false" customHeight="true" outlineLevel="0" collapsed="false">
      <c r="A928" s="145"/>
    </row>
    <row r="929" customFormat="false" ht="15.75" hidden="false" customHeight="true" outlineLevel="0" collapsed="false">
      <c r="A929" s="145"/>
    </row>
    <row r="930" customFormat="false" ht="15.75" hidden="false" customHeight="true" outlineLevel="0" collapsed="false">
      <c r="A930" s="145"/>
    </row>
    <row r="931" customFormat="false" ht="15.75" hidden="false" customHeight="true" outlineLevel="0" collapsed="false">
      <c r="A931" s="145"/>
    </row>
    <row r="932" customFormat="false" ht="15.75" hidden="false" customHeight="true" outlineLevel="0" collapsed="false">
      <c r="A932" s="145"/>
    </row>
    <row r="933" customFormat="false" ht="15.75" hidden="false" customHeight="true" outlineLevel="0" collapsed="false">
      <c r="A933" s="145"/>
    </row>
    <row r="934" customFormat="false" ht="15.75" hidden="false" customHeight="true" outlineLevel="0" collapsed="false">
      <c r="A934" s="145"/>
    </row>
    <row r="935" customFormat="false" ht="15.75" hidden="false" customHeight="true" outlineLevel="0" collapsed="false">
      <c r="A935" s="145"/>
    </row>
    <row r="936" customFormat="false" ht="15.75" hidden="false" customHeight="true" outlineLevel="0" collapsed="false">
      <c r="A936" s="145"/>
    </row>
    <row r="937" customFormat="false" ht="15.75" hidden="false" customHeight="true" outlineLevel="0" collapsed="false">
      <c r="A937" s="145"/>
    </row>
    <row r="938" customFormat="false" ht="15.75" hidden="false" customHeight="true" outlineLevel="0" collapsed="false">
      <c r="A938" s="145"/>
    </row>
    <row r="939" customFormat="false" ht="15.75" hidden="false" customHeight="true" outlineLevel="0" collapsed="false">
      <c r="A939" s="145"/>
    </row>
    <row r="940" customFormat="false" ht="15.75" hidden="false" customHeight="true" outlineLevel="0" collapsed="false">
      <c r="A940" s="145"/>
    </row>
    <row r="941" customFormat="false" ht="15.75" hidden="false" customHeight="true" outlineLevel="0" collapsed="false">
      <c r="A941" s="145"/>
    </row>
    <row r="942" customFormat="false" ht="15.75" hidden="false" customHeight="true" outlineLevel="0" collapsed="false">
      <c r="A942" s="145"/>
    </row>
    <row r="943" customFormat="false" ht="15.75" hidden="false" customHeight="true" outlineLevel="0" collapsed="false">
      <c r="A943" s="145"/>
    </row>
    <row r="944" customFormat="false" ht="15.75" hidden="false" customHeight="true" outlineLevel="0" collapsed="false">
      <c r="A944" s="145"/>
    </row>
    <row r="945" customFormat="false" ht="15.75" hidden="false" customHeight="true" outlineLevel="0" collapsed="false">
      <c r="A945" s="145"/>
    </row>
    <row r="946" customFormat="false" ht="15.75" hidden="false" customHeight="true" outlineLevel="0" collapsed="false">
      <c r="A946" s="145"/>
    </row>
    <row r="947" customFormat="false" ht="15.75" hidden="false" customHeight="true" outlineLevel="0" collapsed="false">
      <c r="A947" s="145"/>
    </row>
    <row r="948" customFormat="false" ht="15.75" hidden="false" customHeight="true" outlineLevel="0" collapsed="false">
      <c r="A948" s="145"/>
    </row>
    <row r="949" customFormat="false" ht="15.75" hidden="false" customHeight="true" outlineLevel="0" collapsed="false">
      <c r="A949" s="145"/>
    </row>
    <row r="950" customFormat="false" ht="15.75" hidden="false" customHeight="true" outlineLevel="0" collapsed="false">
      <c r="A950" s="145"/>
    </row>
    <row r="951" customFormat="false" ht="15.75" hidden="false" customHeight="true" outlineLevel="0" collapsed="false">
      <c r="A951" s="145"/>
    </row>
    <row r="952" customFormat="false" ht="15.75" hidden="false" customHeight="true" outlineLevel="0" collapsed="false">
      <c r="A952" s="145"/>
    </row>
    <row r="953" customFormat="false" ht="15.75" hidden="false" customHeight="true" outlineLevel="0" collapsed="false">
      <c r="A953" s="145"/>
    </row>
    <row r="954" customFormat="false" ht="15.75" hidden="false" customHeight="true" outlineLevel="0" collapsed="false">
      <c r="A954" s="145"/>
    </row>
    <row r="955" customFormat="false" ht="15.75" hidden="false" customHeight="true" outlineLevel="0" collapsed="false">
      <c r="A955" s="145"/>
    </row>
    <row r="956" customFormat="false" ht="15.75" hidden="false" customHeight="true" outlineLevel="0" collapsed="false">
      <c r="A956" s="145"/>
    </row>
    <row r="957" customFormat="false" ht="15.75" hidden="false" customHeight="true" outlineLevel="0" collapsed="false">
      <c r="A957" s="145"/>
    </row>
    <row r="958" customFormat="false" ht="15.75" hidden="false" customHeight="true" outlineLevel="0" collapsed="false">
      <c r="A958" s="145"/>
    </row>
    <row r="959" customFormat="false" ht="15.75" hidden="false" customHeight="true" outlineLevel="0" collapsed="false">
      <c r="A959" s="145"/>
    </row>
    <row r="960" customFormat="false" ht="15.75" hidden="false" customHeight="true" outlineLevel="0" collapsed="false">
      <c r="A960" s="145"/>
    </row>
    <row r="961" customFormat="false" ht="15.75" hidden="false" customHeight="true" outlineLevel="0" collapsed="false">
      <c r="A961" s="145"/>
    </row>
    <row r="962" customFormat="false" ht="15.75" hidden="false" customHeight="true" outlineLevel="0" collapsed="false">
      <c r="A962" s="145"/>
    </row>
    <row r="963" customFormat="false" ht="15.75" hidden="false" customHeight="true" outlineLevel="0" collapsed="false">
      <c r="A963" s="145"/>
    </row>
    <row r="964" customFormat="false" ht="15.75" hidden="false" customHeight="true" outlineLevel="0" collapsed="false">
      <c r="A964" s="145"/>
    </row>
    <row r="965" customFormat="false" ht="15.75" hidden="false" customHeight="true" outlineLevel="0" collapsed="false">
      <c r="A965" s="145"/>
    </row>
    <row r="966" customFormat="false" ht="15.75" hidden="false" customHeight="true" outlineLevel="0" collapsed="false">
      <c r="A966" s="145"/>
    </row>
    <row r="967" customFormat="false" ht="15.75" hidden="false" customHeight="true" outlineLevel="0" collapsed="false">
      <c r="A967" s="145"/>
    </row>
    <row r="968" customFormat="false" ht="15.75" hidden="false" customHeight="true" outlineLevel="0" collapsed="false">
      <c r="A968" s="145"/>
    </row>
    <row r="969" customFormat="false" ht="15.75" hidden="false" customHeight="true" outlineLevel="0" collapsed="false">
      <c r="A969" s="145"/>
    </row>
    <row r="970" customFormat="false" ht="15.75" hidden="false" customHeight="true" outlineLevel="0" collapsed="false">
      <c r="A970" s="145"/>
    </row>
    <row r="971" customFormat="false" ht="15.75" hidden="false" customHeight="true" outlineLevel="0" collapsed="false">
      <c r="A971" s="145"/>
    </row>
    <row r="972" customFormat="false" ht="15.75" hidden="false" customHeight="true" outlineLevel="0" collapsed="false">
      <c r="A972" s="145"/>
    </row>
    <row r="973" customFormat="false" ht="15.75" hidden="false" customHeight="true" outlineLevel="0" collapsed="false">
      <c r="A973" s="145"/>
    </row>
    <row r="974" customFormat="false" ht="15.75" hidden="false" customHeight="true" outlineLevel="0" collapsed="false">
      <c r="A974" s="145"/>
    </row>
    <row r="975" customFormat="false" ht="15.75" hidden="false" customHeight="true" outlineLevel="0" collapsed="false">
      <c r="A975" s="145"/>
    </row>
    <row r="976" customFormat="false" ht="15.75" hidden="false" customHeight="true" outlineLevel="0" collapsed="false">
      <c r="A976" s="145"/>
    </row>
    <row r="977" customFormat="false" ht="15.75" hidden="false" customHeight="true" outlineLevel="0" collapsed="false">
      <c r="A977" s="145"/>
    </row>
    <row r="978" customFormat="false" ht="15.75" hidden="false" customHeight="true" outlineLevel="0" collapsed="false">
      <c r="A978" s="145"/>
    </row>
    <row r="979" customFormat="false" ht="15.75" hidden="false" customHeight="true" outlineLevel="0" collapsed="false">
      <c r="A979" s="145"/>
    </row>
  </sheetData>
  <autoFilter ref="A7:AH197"/>
  <mergeCells count="167">
    <mergeCell ref="H2:L2"/>
    <mergeCell ref="V2:W2"/>
    <mergeCell ref="B3:B5"/>
    <mergeCell ref="E3:E4"/>
    <mergeCell ref="Q3:AG3"/>
    <mergeCell ref="C221:N221"/>
    <mergeCell ref="C222:N222"/>
    <mergeCell ref="C223:N223"/>
    <mergeCell ref="C224:N224"/>
    <mergeCell ref="C225:N225"/>
    <mergeCell ref="C233:N233"/>
    <mergeCell ref="C234:N234"/>
    <mergeCell ref="C235:N235"/>
    <mergeCell ref="C236:N236"/>
    <mergeCell ref="C237:N237"/>
    <mergeCell ref="C238:N238"/>
    <mergeCell ref="C239:N239"/>
    <mergeCell ref="C240:N240"/>
    <mergeCell ref="C247:N247"/>
    <mergeCell ref="C248:N248"/>
    <mergeCell ref="C249:N249"/>
    <mergeCell ref="C250:N250"/>
    <mergeCell ref="C251:N251"/>
    <mergeCell ref="C252:N252"/>
    <mergeCell ref="C253:N253"/>
    <mergeCell ref="C254:N254"/>
    <mergeCell ref="C255:N255"/>
    <mergeCell ref="C256:N256"/>
    <mergeCell ref="C257:N257"/>
    <mergeCell ref="C258:N258"/>
    <mergeCell ref="C259:N259"/>
    <mergeCell ref="C260:N260"/>
    <mergeCell ref="C261:N261"/>
    <mergeCell ref="C262:N262"/>
    <mergeCell ref="C263:N263"/>
    <mergeCell ref="C264:N264"/>
    <mergeCell ref="C265:N265"/>
    <mergeCell ref="C266:N266"/>
    <mergeCell ref="C267:N267"/>
    <mergeCell ref="C268:N268"/>
    <mergeCell ref="C269:N269"/>
    <mergeCell ref="C270:N270"/>
    <mergeCell ref="C271:N271"/>
    <mergeCell ref="C272:N272"/>
    <mergeCell ref="C273:N273"/>
    <mergeCell ref="C274:N274"/>
    <mergeCell ref="C275:N275"/>
    <mergeCell ref="C276:N276"/>
    <mergeCell ref="C277:N277"/>
    <mergeCell ref="C278:N278"/>
    <mergeCell ref="C279:N279"/>
    <mergeCell ref="C280:N280"/>
    <mergeCell ref="C281:N281"/>
    <mergeCell ref="C282:N282"/>
    <mergeCell ref="C283:N283"/>
    <mergeCell ref="C284:N284"/>
    <mergeCell ref="C285:N285"/>
    <mergeCell ref="C286:N286"/>
    <mergeCell ref="C287:N287"/>
    <mergeCell ref="C288:N288"/>
    <mergeCell ref="C289:N289"/>
    <mergeCell ref="C290:N290"/>
    <mergeCell ref="C291:N291"/>
    <mergeCell ref="C292:N292"/>
    <mergeCell ref="C297:N297"/>
    <mergeCell ref="C298:N298"/>
    <mergeCell ref="C299:N299"/>
    <mergeCell ref="C300:N300"/>
    <mergeCell ref="C301:N301"/>
    <mergeCell ref="C302:N302"/>
    <mergeCell ref="C303:N303"/>
    <mergeCell ref="C304:N304"/>
    <mergeCell ref="C305:N305"/>
    <mergeCell ref="C306:N306"/>
    <mergeCell ref="C307:N307"/>
    <mergeCell ref="C308:N308"/>
    <mergeCell ref="C309:N309"/>
    <mergeCell ref="C310:N310"/>
    <mergeCell ref="C311:N311"/>
    <mergeCell ref="C312:N312"/>
    <mergeCell ref="C313:N313"/>
    <mergeCell ref="C314:N314"/>
    <mergeCell ref="C315:N315"/>
    <mergeCell ref="C316:N316"/>
    <mergeCell ref="C317:N317"/>
    <mergeCell ref="C318:N318"/>
    <mergeCell ref="C319:N319"/>
    <mergeCell ref="C320:N320"/>
    <mergeCell ref="C321:N321"/>
    <mergeCell ref="C322:N322"/>
    <mergeCell ref="C323:N323"/>
    <mergeCell ref="C324:N324"/>
    <mergeCell ref="C325:N325"/>
    <mergeCell ref="C326:N326"/>
    <mergeCell ref="C327:N327"/>
    <mergeCell ref="C328:N328"/>
    <mergeCell ref="C329:N329"/>
    <mergeCell ref="C330:N330"/>
    <mergeCell ref="C331:N331"/>
    <mergeCell ref="C332:N332"/>
    <mergeCell ref="C333:N333"/>
    <mergeCell ref="C334:N334"/>
    <mergeCell ref="C335:N335"/>
    <mergeCell ref="C336:N336"/>
    <mergeCell ref="C337:N337"/>
    <mergeCell ref="C343:N343"/>
    <mergeCell ref="C344:N344"/>
    <mergeCell ref="C345:N345"/>
    <mergeCell ref="C346:N346"/>
    <mergeCell ref="C347:N347"/>
    <mergeCell ref="C348:N348"/>
    <mergeCell ref="C349:N349"/>
    <mergeCell ref="C350:N350"/>
    <mergeCell ref="C351:N351"/>
    <mergeCell ref="C352:N352"/>
    <mergeCell ref="C353:N353"/>
    <mergeCell ref="C354:N354"/>
    <mergeCell ref="C355:N355"/>
    <mergeCell ref="C356:N356"/>
    <mergeCell ref="C357:N357"/>
    <mergeCell ref="C358:N358"/>
    <mergeCell ref="C359:N359"/>
    <mergeCell ref="C360:N360"/>
    <mergeCell ref="C361:N361"/>
    <mergeCell ref="C362:N362"/>
    <mergeCell ref="C363:N363"/>
    <mergeCell ref="C364:N364"/>
    <mergeCell ref="C365:N365"/>
    <mergeCell ref="C366:N366"/>
    <mergeCell ref="C367:N367"/>
    <mergeCell ref="C368:N368"/>
    <mergeCell ref="C369:N369"/>
    <mergeCell ref="C374:N374"/>
    <mergeCell ref="C375:N375"/>
    <mergeCell ref="C376:N376"/>
    <mergeCell ref="C377:N377"/>
    <mergeCell ref="C378:N378"/>
    <mergeCell ref="C379:N379"/>
    <mergeCell ref="C380:N380"/>
    <mergeCell ref="C381:N381"/>
    <mergeCell ref="C382:N382"/>
    <mergeCell ref="C383:N383"/>
    <mergeCell ref="C384:N384"/>
    <mergeCell ref="C385:N385"/>
    <mergeCell ref="C386:N386"/>
    <mergeCell ref="C387:N387"/>
    <mergeCell ref="C388:N388"/>
    <mergeCell ref="C389:N389"/>
    <mergeCell ref="C390:N390"/>
    <mergeCell ref="C395:N395"/>
    <mergeCell ref="C396:N396"/>
    <mergeCell ref="C397:N397"/>
    <mergeCell ref="C398:N398"/>
    <mergeCell ref="C399:N399"/>
    <mergeCell ref="C400:N400"/>
    <mergeCell ref="C401:N401"/>
    <mergeCell ref="C402:N402"/>
    <mergeCell ref="C403:N403"/>
    <mergeCell ref="C404:N404"/>
    <mergeCell ref="C405:N405"/>
    <mergeCell ref="C406:N406"/>
    <mergeCell ref="C407:N407"/>
    <mergeCell ref="C408:N408"/>
    <mergeCell ref="C409:N409"/>
    <mergeCell ref="C410:N410"/>
    <mergeCell ref="C411:N411"/>
    <mergeCell ref="C412:N41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S214" activeCellId="0" sqref="S214"/>
    </sheetView>
  </sheetViews>
  <sheetFormatPr defaultColWidth="12.57421875" defaultRowHeight="15" customHeight="false" zeroHeight="false" outlineLevelRow="0" outlineLevelCol="0"/>
  <cols>
    <col collapsed="false" customWidth="true" hidden="false" outlineLevel="0" max="1" min="1" style="0" width="11.28"/>
    <col collapsed="false" customWidth="true" hidden="false" outlineLevel="0" max="2" min="2" style="0" width="54.14"/>
    <col collapsed="false" customWidth="true" hidden="false" outlineLevel="0" max="3" min="3" style="0" width="6.7"/>
    <col collapsed="false" customWidth="true" hidden="false" outlineLevel="0" max="4" min="4" style="0" width="14.14"/>
    <col collapsed="false" customWidth="true" hidden="false" outlineLevel="0" max="5" min="5" style="0" width="18.7"/>
    <col collapsed="false" customWidth="true" hidden="false" outlineLevel="0" max="6" min="6" style="0" width="16"/>
    <col collapsed="false" customWidth="true" hidden="false" outlineLevel="0" max="7" min="7" style="0" width="14.14"/>
    <col collapsed="false" customWidth="true" hidden="false" outlineLevel="0" max="8" min="8" style="0" width="15"/>
    <col collapsed="false" customWidth="true" hidden="false" outlineLevel="0" max="9" min="9" style="0" width="14.29"/>
    <col collapsed="false" customWidth="true" hidden="false" outlineLevel="0" max="10" min="10" style="0" width="15.72"/>
    <col collapsed="false" customWidth="true" hidden="false" outlineLevel="0" max="13" min="11" style="0" width="15"/>
    <col collapsed="false" customWidth="true" hidden="false" outlineLevel="0" max="14" min="14" style="0" width="13.71"/>
    <col collapsed="false" customWidth="true" hidden="false" outlineLevel="0" max="15" min="15" style="0" width="12.86"/>
    <col collapsed="false" customWidth="true" hidden="false" outlineLevel="0" max="16" min="16" style="0" width="15.43"/>
    <col collapsed="false" customWidth="true" hidden="false" outlineLevel="0" max="17" min="17" style="0" width="15"/>
    <col collapsed="false" customWidth="true" hidden="false" outlineLevel="0" max="18" min="18" style="0" width="16.43"/>
    <col collapsed="false" customWidth="true" hidden="false" outlineLevel="0" max="21" min="19" style="0" width="15.28"/>
    <col collapsed="false" customWidth="true" hidden="false" outlineLevel="0" max="22" min="22" style="0" width="14.57"/>
    <col collapsed="false" customWidth="true" hidden="false" outlineLevel="0" max="23" min="23" style="0" width="15"/>
    <col collapsed="false" customWidth="true" hidden="false" outlineLevel="0" max="24" min="24" style="0" width="15.86"/>
    <col collapsed="false" customWidth="true" hidden="false" outlineLevel="0" max="25" min="25" style="0" width="14.14"/>
    <col collapsed="false" customWidth="true" hidden="false" outlineLevel="0" max="26" min="26" style="0" width="16.72"/>
    <col collapsed="false" customWidth="true" hidden="false" outlineLevel="0" max="28" min="27" style="0" width="16.14"/>
    <col collapsed="false" customWidth="true" hidden="false" outlineLevel="0" max="29" min="29" style="0" width="15.86"/>
    <col collapsed="false" customWidth="true" hidden="false" outlineLevel="0" max="30" min="30" style="0" width="14.86"/>
    <col collapsed="false" customWidth="true" hidden="false" outlineLevel="0" max="31" min="31" style="0" width="16.14"/>
    <col collapsed="false" customWidth="true" hidden="false" outlineLevel="0" max="32" min="32" style="0" width="15"/>
    <col collapsed="false" customWidth="true" hidden="false" outlineLevel="0" max="33" min="33" style="0" width="55.72"/>
    <col collapsed="false" customWidth="true" hidden="false" outlineLevel="0" max="34" min="34" style="0" width="11.15"/>
  </cols>
  <sheetData>
    <row r="1" customFormat="false" ht="15" hidden="false" customHeight="true" outlineLevel="0" collapsed="false">
      <c r="A1" s="1"/>
      <c r="B1" s="1"/>
      <c r="D1" s="2"/>
      <c r="P1" s="3"/>
      <c r="Q1" s="4" t="s">
        <v>0</v>
      </c>
      <c r="R1" s="5" t="s">
        <v>1</v>
      </c>
      <c r="Z1" s="6"/>
      <c r="AA1" s="7"/>
      <c r="AB1" s="7"/>
      <c r="AH1" s="8"/>
    </row>
    <row r="2" customFormat="false" ht="15.75" hidden="false" customHeight="true" outlineLevel="0" collapsed="false">
      <c r="A2" s="1"/>
      <c r="B2" s="1"/>
      <c r="C2" s="9"/>
      <c r="D2" s="10" t="n">
        <f aca="false">SUM(D5+E5)</f>
        <v>152536.9</v>
      </c>
      <c r="E2" s="11" t="s">
        <v>2</v>
      </c>
      <c r="F2" s="11"/>
      <c r="G2" s="12"/>
      <c r="H2" s="13"/>
      <c r="I2" s="13"/>
      <c r="J2" s="13"/>
      <c r="K2" s="13"/>
      <c r="L2" s="13"/>
      <c r="M2" s="14"/>
      <c r="N2" s="15"/>
      <c r="O2" s="16" t="s">
        <v>3</v>
      </c>
      <c r="P2" s="17" t="n">
        <f aca="false">SUM(D5+G5+H5+I5+J5+K5+L5+M5+N5+O5)</f>
        <v>153736.9</v>
      </c>
      <c r="Q2" s="18" t="n">
        <f aca="false">X2-AA5-AB5-AC5-AD5</f>
        <v>137927.54</v>
      </c>
      <c r="R2" s="19" t="s">
        <v>4</v>
      </c>
      <c r="S2" s="19"/>
      <c r="T2" s="20"/>
      <c r="U2" s="20"/>
      <c r="V2" s="16" t="s">
        <v>3</v>
      </c>
      <c r="W2" s="16"/>
      <c r="X2" s="17" t="n">
        <f aca="false">SUM(Q5:Y5)</f>
        <v>137927.54</v>
      </c>
      <c r="Y2" s="17"/>
      <c r="Z2" s="21"/>
      <c r="AA2" s="20"/>
      <c r="AB2" s="20"/>
      <c r="AC2" s="14"/>
      <c r="AD2" s="14"/>
      <c r="AE2" s="14"/>
      <c r="AF2" s="14"/>
      <c r="AG2" s="14"/>
      <c r="AH2" s="8"/>
    </row>
    <row r="3" customFormat="false" ht="15" hidden="false" customHeight="true" outlineLevel="0" collapsed="false">
      <c r="A3" s="1"/>
      <c r="B3" s="22" t="n">
        <v>46023</v>
      </c>
      <c r="C3" s="23"/>
      <c r="D3" s="24"/>
      <c r="E3" s="25" t="s">
        <v>5</v>
      </c>
      <c r="F3" s="26"/>
      <c r="G3" s="24"/>
      <c r="H3" s="24"/>
      <c r="I3" s="24"/>
      <c r="J3" s="24"/>
      <c r="K3" s="24"/>
      <c r="L3" s="24"/>
      <c r="M3" s="24"/>
      <c r="N3" s="24"/>
      <c r="O3" s="27" t="n">
        <f aca="false">P2-P3</f>
        <v>1200</v>
      </c>
      <c r="P3" s="28" t="n">
        <f aca="false">D5+E5</f>
        <v>152536.9</v>
      </c>
      <c r="Q3" s="29" t="s">
        <v>6</v>
      </c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30"/>
    </row>
    <row r="4" customFormat="false" ht="15" hidden="false" customHeight="true" outlineLevel="0" collapsed="false">
      <c r="A4" s="1"/>
      <c r="B4" s="22"/>
      <c r="C4" s="31"/>
      <c r="D4" s="32" t="s">
        <v>7</v>
      </c>
      <c r="E4" s="25"/>
      <c r="F4" s="33" t="s">
        <v>8</v>
      </c>
      <c r="G4" s="32" t="s">
        <v>9</v>
      </c>
      <c r="H4" s="32" t="s">
        <v>10</v>
      </c>
      <c r="I4" s="32" t="s">
        <v>11</v>
      </c>
      <c r="J4" s="32" t="s">
        <v>12</v>
      </c>
      <c r="K4" s="32" t="s">
        <v>13</v>
      </c>
      <c r="L4" s="32" t="s">
        <v>14</v>
      </c>
      <c r="M4" s="32" t="s">
        <v>15</v>
      </c>
      <c r="N4" s="32" t="s">
        <v>16</v>
      </c>
      <c r="O4" s="32" t="s">
        <v>17</v>
      </c>
      <c r="P4" s="34" t="s">
        <v>18</v>
      </c>
      <c r="Q4" s="35" t="s">
        <v>19</v>
      </c>
      <c r="R4" s="35" t="s">
        <v>20</v>
      </c>
      <c r="S4" s="35" t="s">
        <v>21</v>
      </c>
      <c r="T4" s="35" t="s">
        <v>22</v>
      </c>
      <c r="U4" s="35" t="s">
        <v>23</v>
      </c>
      <c r="V4" s="35" t="s">
        <v>24</v>
      </c>
      <c r="W4" s="36" t="s">
        <v>25</v>
      </c>
      <c r="X4" s="35" t="s">
        <v>26</v>
      </c>
      <c r="Y4" s="35" t="s">
        <v>20</v>
      </c>
      <c r="Z4" s="37" t="s">
        <v>27</v>
      </c>
      <c r="AA4" s="38" t="s">
        <v>28</v>
      </c>
      <c r="AB4" s="38" t="s">
        <v>29</v>
      </c>
      <c r="AC4" s="38" t="s">
        <v>30</v>
      </c>
      <c r="AD4" s="38" t="s">
        <v>18</v>
      </c>
      <c r="AE4" s="39" t="s">
        <v>31</v>
      </c>
      <c r="AF4" s="39" t="s">
        <v>26</v>
      </c>
      <c r="AG4" s="40" t="s">
        <v>32</v>
      </c>
      <c r="AH4" s="41" t="s">
        <v>33</v>
      </c>
    </row>
    <row r="5" customFormat="false" ht="15.75" hidden="false" customHeight="true" outlineLevel="0" collapsed="false">
      <c r="A5" s="1"/>
      <c r="B5" s="22"/>
      <c r="C5" s="31"/>
      <c r="D5" s="42" t="n">
        <f aca="false">SUM(D8:D198)</f>
        <v>4360</v>
      </c>
      <c r="E5" s="43" t="n">
        <f aca="false">SUM(E8:E198)</f>
        <v>148176.9</v>
      </c>
      <c r="F5" s="43"/>
      <c r="G5" s="44" t="n">
        <f aca="false">SUM(G8:G198)</f>
        <v>6126.5</v>
      </c>
      <c r="H5" s="44" t="n">
        <f aca="false">SUM(H8:H198)</f>
        <v>19450.4</v>
      </c>
      <c r="I5" s="44" t="n">
        <f aca="false">SUM(I8:I198)</f>
        <v>30650</v>
      </c>
      <c r="J5" s="44" t="n">
        <f aca="false">SUM(J8:J198)</f>
        <v>40800</v>
      </c>
      <c r="K5" s="44" t="n">
        <f aca="false">SUM(K8:K198)</f>
        <v>51350</v>
      </c>
      <c r="L5" s="44" t="n">
        <f aca="false">SUM(L8:L198)</f>
        <v>0</v>
      </c>
      <c r="M5" s="44" t="n">
        <f aca="false">SUM(M8:M198)</f>
        <v>0</v>
      </c>
      <c r="N5" s="44" t="n">
        <f aca="false">SUM(N8:N198)</f>
        <v>1000</v>
      </c>
      <c r="O5" s="44" t="n">
        <f aca="false">SUM(O8:O198)</f>
        <v>0</v>
      </c>
      <c r="P5" s="44" t="n">
        <f aca="false">SUM(P8:P198)</f>
        <v>0</v>
      </c>
      <c r="Q5" s="44" t="n">
        <f aca="false">SUM(Q8:Q198)</f>
        <v>4180</v>
      </c>
      <c r="R5" s="44" t="n">
        <f aca="false">SUM(R8:R198)</f>
        <v>66736</v>
      </c>
      <c r="S5" s="44" t="n">
        <f aca="false">SUM(S8:S198)</f>
        <v>8050</v>
      </c>
      <c r="T5" s="44" t="n">
        <f aca="false">SUM(T8:T198)</f>
        <v>7400</v>
      </c>
      <c r="U5" s="44" t="n">
        <f aca="false">SUM(U8:U198)</f>
        <v>22618.4</v>
      </c>
      <c r="V5" s="44" t="n">
        <f aca="false">SUM(V8:V198)</f>
        <v>19856.5</v>
      </c>
      <c r="W5" s="44" t="n">
        <f aca="false">SUM(W8:W198)</f>
        <v>0</v>
      </c>
      <c r="X5" s="44" t="n">
        <f aca="false">SUM(X8:X198)</f>
        <v>9086.64</v>
      </c>
      <c r="Y5" s="44" t="n">
        <f aca="false">SUM(Y8:Y198)</f>
        <v>0</v>
      </c>
      <c r="Z5" s="44" t="n">
        <f aca="false">SUM(Z8:Z198)</f>
        <v>642</v>
      </c>
      <c r="AA5" s="44"/>
      <c r="AB5" s="44"/>
      <c r="AC5" s="44"/>
      <c r="AD5" s="44" t="n">
        <f aca="false">SUM(AD8:AD198)</f>
        <v>0</v>
      </c>
      <c r="AE5" s="44" t="n">
        <f aca="false">SUM(AE8:AE198)</f>
        <v>13300</v>
      </c>
      <c r="AF5" s="44" t="n">
        <f aca="false">SUM(AF8:AF198)</f>
        <v>0</v>
      </c>
      <c r="AG5" s="44"/>
      <c r="AH5" s="46"/>
    </row>
    <row r="6" customFormat="false" ht="15.75" hidden="false" customHeight="true" outlineLevel="0" collapsed="false">
      <c r="A6" s="1"/>
      <c r="B6" s="47"/>
      <c r="C6" s="48"/>
      <c r="D6" s="48"/>
      <c r="E6" s="48"/>
      <c r="F6" s="49" t="n">
        <f aca="false">SUM(F8:F206)</f>
        <v>3923.1</v>
      </c>
      <c r="G6" s="48"/>
      <c r="H6" s="48"/>
      <c r="I6" s="48"/>
      <c r="J6" s="48"/>
      <c r="K6" s="48"/>
      <c r="L6" s="50"/>
      <c r="M6" s="50"/>
      <c r="N6" s="48"/>
      <c r="O6" s="50"/>
      <c r="P6" s="50"/>
      <c r="Q6" s="51"/>
      <c r="R6" s="52"/>
      <c r="S6" s="52"/>
      <c r="T6" s="52"/>
      <c r="U6" s="52"/>
      <c r="V6" s="51"/>
      <c r="W6" s="53"/>
      <c r="X6" s="54"/>
      <c r="Y6" s="50"/>
      <c r="Z6" s="55"/>
      <c r="AA6" s="56"/>
      <c r="AB6" s="56"/>
      <c r="AC6" s="56"/>
      <c r="AD6" s="57"/>
      <c r="AE6" s="48"/>
      <c r="AF6" s="48"/>
      <c r="AG6" s="48"/>
      <c r="AH6" s="58"/>
    </row>
    <row r="7" customFormat="false" ht="15.75" hidden="false" customHeight="true" outlineLevel="0" collapsed="false">
      <c r="A7" s="59" t="s">
        <v>34</v>
      </c>
      <c r="B7" s="60" t="s">
        <v>35</v>
      </c>
      <c r="C7" s="59" t="s">
        <v>36</v>
      </c>
      <c r="D7" s="59" t="s">
        <v>7</v>
      </c>
      <c r="E7" s="59" t="s">
        <v>37</v>
      </c>
      <c r="F7" s="59"/>
      <c r="G7" s="59" t="s">
        <v>9</v>
      </c>
      <c r="H7" s="59" t="s">
        <v>10</v>
      </c>
      <c r="I7" s="59" t="s">
        <v>38</v>
      </c>
      <c r="J7" s="59" t="s">
        <v>12</v>
      </c>
      <c r="K7" s="59" t="s">
        <v>13</v>
      </c>
      <c r="L7" s="59" t="s">
        <v>14</v>
      </c>
      <c r="M7" s="59" t="s">
        <v>15</v>
      </c>
      <c r="N7" s="59" t="s">
        <v>16</v>
      </c>
      <c r="O7" s="59" t="s">
        <v>39</v>
      </c>
      <c r="P7" s="59" t="s">
        <v>18</v>
      </c>
      <c r="Q7" s="59" t="s">
        <v>19</v>
      </c>
      <c r="R7" s="59" t="s">
        <v>20</v>
      </c>
      <c r="S7" s="59" t="s">
        <v>21</v>
      </c>
      <c r="T7" s="59" t="s">
        <v>22</v>
      </c>
      <c r="U7" s="59" t="s">
        <v>23</v>
      </c>
      <c r="V7" s="59" t="s">
        <v>40</v>
      </c>
      <c r="W7" s="59" t="s">
        <v>41</v>
      </c>
      <c r="X7" s="59" t="s">
        <v>26</v>
      </c>
      <c r="Y7" s="59"/>
      <c r="Z7" s="59" t="s">
        <v>42</v>
      </c>
      <c r="AA7" s="59" t="s">
        <v>28</v>
      </c>
      <c r="AB7" s="59" t="s">
        <v>29</v>
      </c>
      <c r="AC7" s="59" t="s">
        <v>30</v>
      </c>
      <c r="AD7" s="59" t="s">
        <v>18</v>
      </c>
      <c r="AE7" s="59" t="s">
        <v>43</v>
      </c>
      <c r="AF7" s="59" t="s">
        <v>26</v>
      </c>
      <c r="AG7" s="59"/>
      <c r="AH7" s="59" t="s">
        <v>44</v>
      </c>
    </row>
    <row r="8" customFormat="false" ht="15" hidden="false" customHeight="true" outlineLevel="0" collapsed="false">
      <c r="A8" s="61" t="n">
        <v>46055</v>
      </c>
      <c r="B8" s="61" t="s">
        <v>532</v>
      </c>
      <c r="C8" s="62" t="s">
        <v>46</v>
      </c>
      <c r="D8" s="63" t="n">
        <v>0</v>
      </c>
      <c r="E8" s="64" t="n">
        <v>7500</v>
      </c>
      <c r="F8" s="63" t="n">
        <v>0</v>
      </c>
      <c r="G8" s="63" t="n">
        <v>0</v>
      </c>
      <c r="H8" s="63" t="n">
        <v>0</v>
      </c>
      <c r="I8" s="63" t="n">
        <v>0</v>
      </c>
      <c r="J8" s="63" t="n">
        <v>6000</v>
      </c>
      <c r="K8" s="63" t="n">
        <v>1500</v>
      </c>
      <c r="L8" s="63" t="n">
        <v>0</v>
      </c>
      <c r="M8" s="63" t="n">
        <v>0</v>
      </c>
      <c r="N8" s="63" t="n">
        <v>0</v>
      </c>
      <c r="O8" s="63" t="n">
        <v>0</v>
      </c>
      <c r="P8" s="65" t="n">
        <v>0</v>
      </c>
      <c r="Q8" s="72" t="n">
        <v>0</v>
      </c>
      <c r="R8" s="72" t="n">
        <v>0</v>
      </c>
      <c r="S8" s="72" t="n">
        <v>7950</v>
      </c>
      <c r="T8" s="72" t="n">
        <v>0</v>
      </c>
      <c r="U8" s="72" t="n">
        <v>0</v>
      </c>
      <c r="V8" s="72" t="n">
        <v>0</v>
      </c>
      <c r="W8" s="72" t="n">
        <v>0</v>
      </c>
      <c r="X8" s="72" t="n">
        <v>0</v>
      </c>
      <c r="Y8" s="66" t="n">
        <v>0</v>
      </c>
      <c r="Z8" s="66" t="n">
        <v>450</v>
      </c>
      <c r="AA8" s="66" t="n">
        <v>0</v>
      </c>
      <c r="AB8" s="66" t="n">
        <v>0</v>
      </c>
      <c r="AC8" s="66" t="n">
        <v>0</v>
      </c>
      <c r="AD8" s="66" t="n">
        <v>0</v>
      </c>
      <c r="AE8" s="68" t="n">
        <v>0</v>
      </c>
      <c r="AF8" s="69" t="n">
        <v>0</v>
      </c>
      <c r="AG8" s="70"/>
      <c r="AH8" s="71" t="s">
        <v>533</v>
      </c>
    </row>
    <row r="9" customFormat="false" ht="15" hidden="false" customHeight="true" outlineLevel="0" collapsed="false">
      <c r="A9" s="61" t="n">
        <v>46055</v>
      </c>
      <c r="B9" s="61" t="s">
        <v>534</v>
      </c>
      <c r="C9" s="62" t="s">
        <v>46</v>
      </c>
      <c r="D9" s="63" t="n">
        <v>0</v>
      </c>
      <c r="E9" s="64" t="n">
        <v>5000</v>
      </c>
      <c r="F9" s="63" t="n">
        <v>360</v>
      </c>
      <c r="G9" s="63" t="n">
        <v>0</v>
      </c>
      <c r="H9" s="63" t="n">
        <v>0</v>
      </c>
      <c r="I9" s="63" t="n">
        <v>2600</v>
      </c>
      <c r="J9" s="63" t="n">
        <v>0</v>
      </c>
      <c r="K9" s="63" t="n">
        <v>2400</v>
      </c>
      <c r="L9" s="63" t="n">
        <v>0</v>
      </c>
      <c r="M9" s="63" t="n">
        <v>0</v>
      </c>
      <c r="N9" s="63" t="n">
        <v>0</v>
      </c>
      <c r="O9" s="63" t="n">
        <v>0</v>
      </c>
      <c r="P9" s="65" t="n">
        <v>0</v>
      </c>
      <c r="Q9" s="72" t="n">
        <v>0</v>
      </c>
      <c r="R9" s="72" t="n">
        <v>0</v>
      </c>
      <c r="S9" s="72" t="n">
        <v>0</v>
      </c>
      <c r="T9" s="72" t="n">
        <v>0</v>
      </c>
      <c r="U9" s="72" t="n">
        <v>0</v>
      </c>
      <c r="V9" s="72" t="n">
        <v>5000</v>
      </c>
      <c r="W9" s="72" t="n">
        <v>0</v>
      </c>
      <c r="X9" s="72" t="n">
        <v>0</v>
      </c>
      <c r="Y9" s="72" t="n">
        <v>0</v>
      </c>
      <c r="Z9" s="72" t="n">
        <v>0</v>
      </c>
      <c r="AA9" s="72" t="n">
        <v>0</v>
      </c>
      <c r="AB9" s="72" t="n">
        <v>0</v>
      </c>
      <c r="AC9" s="72" t="n">
        <v>0</v>
      </c>
      <c r="AD9" s="72" t="n">
        <v>0</v>
      </c>
      <c r="AE9" s="74" t="n">
        <v>0</v>
      </c>
      <c r="AF9" s="75" t="n">
        <v>0</v>
      </c>
      <c r="AG9" s="70"/>
      <c r="AH9" s="71"/>
    </row>
    <row r="10" customFormat="false" ht="15" hidden="false" customHeight="true" outlineLevel="0" collapsed="false">
      <c r="A10" s="61" t="n">
        <v>46055</v>
      </c>
      <c r="B10" s="61" t="s">
        <v>535</v>
      </c>
      <c r="C10" s="62" t="s">
        <v>46</v>
      </c>
      <c r="D10" s="63" t="n">
        <v>0</v>
      </c>
      <c r="E10" s="64" t="n">
        <v>6600</v>
      </c>
      <c r="F10" s="63" t="n">
        <v>0</v>
      </c>
      <c r="G10" s="63" t="n">
        <v>0</v>
      </c>
      <c r="H10" s="63" t="n">
        <v>0</v>
      </c>
      <c r="I10" s="63" t="n">
        <v>0</v>
      </c>
      <c r="J10" s="63" t="n">
        <v>6000</v>
      </c>
      <c r="K10" s="63" t="n">
        <v>600</v>
      </c>
      <c r="L10" s="63" t="n">
        <v>0</v>
      </c>
      <c r="M10" s="63" t="n">
        <v>0</v>
      </c>
      <c r="N10" s="63" t="n">
        <v>0</v>
      </c>
      <c r="O10" s="63" t="n">
        <v>0</v>
      </c>
      <c r="P10" s="65" t="n">
        <v>0</v>
      </c>
      <c r="Q10" s="72" t="n">
        <v>0</v>
      </c>
      <c r="R10" s="72" t="n">
        <v>6600</v>
      </c>
      <c r="S10" s="72" t="n">
        <v>0</v>
      </c>
      <c r="T10" s="72" t="n">
        <v>0</v>
      </c>
      <c r="U10" s="72" t="n">
        <v>0</v>
      </c>
      <c r="V10" s="72" t="n">
        <v>0</v>
      </c>
      <c r="W10" s="72" t="n">
        <v>0</v>
      </c>
      <c r="X10" s="72" t="n">
        <v>0</v>
      </c>
      <c r="Y10" s="72" t="n">
        <v>0</v>
      </c>
      <c r="Z10" s="72" t="n">
        <v>0</v>
      </c>
      <c r="AA10" s="72" t="n">
        <v>0</v>
      </c>
      <c r="AB10" s="72" t="n">
        <v>0</v>
      </c>
      <c r="AC10" s="72" t="n">
        <v>0</v>
      </c>
      <c r="AD10" s="72" t="n">
        <v>0</v>
      </c>
      <c r="AE10" s="74" t="n">
        <v>0</v>
      </c>
      <c r="AF10" s="75" t="n">
        <v>0</v>
      </c>
      <c r="AG10" s="70"/>
      <c r="AH10" s="71" t="s">
        <v>536</v>
      </c>
    </row>
    <row r="11" customFormat="false" ht="15" hidden="false" customHeight="true" outlineLevel="0" collapsed="false">
      <c r="A11" s="76" t="n">
        <v>46055</v>
      </c>
      <c r="B11" s="76" t="s">
        <v>537</v>
      </c>
      <c r="C11" s="77" t="s">
        <v>46</v>
      </c>
      <c r="D11" s="78" t="n">
        <v>0</v>
      </c>
      <c r="E11" s="79" t="n">
        <v>1300</v>
      </c>
      <c r="F11" s="63" t="n">
        <v>0</v>
      </c>
      <c r="G11" s="78" t="n">
        <v>0</v>
      </c>
      <c r="H11" s="78" t="n">
        <v>0</v>
      </c>
      <c r="I11" s="78" t="n">
        <v>0</v>
      </c>
      <c r="J11" s="78" t="n">
        <v>0</v>
      </c>
      <c r="K11" s="78" t="n">
        <v>1300</v>
      </c>
      <c r="L11" s="78" t="n">
        <v>0</v>
      </c>
      <c r="M11" s="78" t="n">
        <v>0</v>
      </c>
      <c r="N11" s="78" t="n">
        <v>0</v>
      </c>
      <c r="O11" s="78" t="n">
        <v>0</v>
      </c>
      <c r="P11" s="80" t="n">
        <v>0</v>
      </c>
      <c r="Q11" s="72" t="n">
        <v>0</v>
      </c>
      <c r="R11" s="72" t="n">
        <v>0</v>
      </c>
      <c r="S11" s="72" t="n">
        <v>0</v>
      </c>
      <c r="T11" s="72" t="n">
        <v>0</v>
      </c>
      <c r="U11" s="72" t="n">
        <v>0</v>
      </c>
      <c r="V11" s="72" t="n">
        <v>0</v>
      </c>
      <c r="W11" s="72" t="n">
        <v>0</v>
      </c>
      <c r="X11" s="72" t="n">
        <v>0</v>
      </c>
      <c r="Y11" s="72" t="n">
        <v>0</v>
      </c>
      <c r="Z11" s="72" t="n">
        <v>0</v>
      </c>
      <c r="AA11" s="72" t="n">
        <v>0</v>
      </c>
      <c r="AB11" s="72" t="n">
        <v>0</v>
      </c>
      <c r="AC11" s="72" t="n">
        <v>0</v>
      </c>
      <c r="AD11" s="72" t="n">
        <v>0</v>
      </c>
      <c r="AE11" s="74" t="n">
        <v>0</v>
      </c>
      <c r="AF11" s="75" t="n">
        <v>0</v>
      </c>
      <c r="AG11" s="81" t="s">
        <v>538</v>
      </c>
      <c r="AH11" s="71"/>
    </row>
    <row r="12" customFormat="false" ht="15" hidden="false" customHeight="true" outlineLevel="0" collapsed="false">
      <c r="A12" s="76" t="n">
        <v>46055</v>
      </c>
      <c r="B12" s="76" t="s">
        <v>539</v>
      </c>
      <c r="C12" s="77" t="s">
        <v>46</v>
      </c>
      <c r="D12" s="78" t="n">
        <v>0</v>
      </c>
      <c r="E12" s="79" t="n">
        <v>6000</v>
      </c>
      <c r="F12" s="63" t="n">
        <v>0</v>
      </c>
      <c r="G12" s="78" t="n">
        <v>0</v>
      </c>
      <c r="H12" s="78" t="n">
        <v>0</v>
      </c>
      <c r="I12" s="78" t="n">
        <v>1000</v>
      </c>
      <c r="J12" s="78" t="n">
        <v>5000</v>
      </c>
      <c r="K12" s="78" t="n">
        <v>0</v>
      </c>
      <c r="L12" s="78" t="n">
        <v>0</v>
      </c>
      <c r="M12" s="78" t="n">
        <v>0</v>
      </c>
      <c r="N12" s="78" t="n">
        <v>0</v>
      </c>
      <c r="O12" s="78" t="n">
        <v>0</v>
      </c>
      <c r="P12" s="80" t="n">
        <v>0</v>
      </c>
      <c r="Q12" s="72" t="n">
        <v>0</v>
      </c>
      <c r="R12" s="72" t="n">
        <v>7300</v>
      </c>
      <c r="S12" s="72" t="n">
        <v>0</v>
      </c>
      <c r="T12" s="72" t="n">
        <v>0</v>
      </c>
      <c r="U12" s="72" t="n">
        <v>0</v>
      </c>
      <c r="V12" s="72" t="n">
        <v>0</v>
      </c>
      <c r="W12" s="72" t="n">
        <v>0</v>
      </c>
      <c r="X12" s="72" t="n">
        <v>0</v>
      </c>
      <c r="Y12" s="72" t="n">
        <v>0</v>
      </c>
      <c r="Z12" s="72" t="n">
        <v>0</v>
      </c>
      <c r="AA12" s="72" t="n">
        <v>0</v>
      </c>
      <c r="AB12" s="72" t="n">
        <v>0</v>
      </c>
      <c r="AC12" s="72" t="n">
        <v>0</v>
      </c>
      <c r="AD12" s="72" t="n">
        <v>0</v>
      </c>
      <c r="AE12" s="74" t="n">
        <v>0</v>
      </c>
      <c r="AF12" s="75" t="n">
        <v>0</v>
      </c>
      <c r="AG12" s="81" t="s">
        <v>540</v>
      </c>
      <c r="AH12" s="71" t="s">
        <v>541</v>
      </c>
    </row>
    <row r="13" customFormat="false" ht="15" hidden="false" customHeight="true" outlineLevel="0" collapsed="false">
      <c r="A13" s="76" t="n">
        <v>46055</v>
      </c>
      <c r="B13" s="76" t="s">
        <v>226</v>
      </c>
      <c r="C13" s="77" t="s">
        <v>46</v>
      </c>
      <c r="D13" s="78" t="n">
        <v>600</v>
      </c>
      <c r="E13" s="79" t="n">
        <v>0</v>
      </c>
      <c r="F13" s="63" t="n">
        <v>0</v>
      </c>
      <c r="G13" s="78" t="n">
        <v>0</v>
      </c>
      <c r="H13" s="78" t="n">
        <v>0</v>
      </c>
      <c r="I13" s="78" t="n">
        <v>0</v>
      </c>
      <c r="J13" s="78" t="n">
        <v>0</v>
      </c>
      <c r="K13" s="78" t="n">
        <v>0</v>
      </c>
      <c r="L13" s="78" t="n">
        <v>0</v>
      </c>
      <c r="M13" s="78" t="n">
        <v>0</v>
      </c>
      <c r="N13" s="78" t="n">
        <v>0</v>
      </c>
      <c r="O13" s="78" t="n">
        <v>0</v>
      </c>
      <c r="P13" s="80" t="n">
        <v>0</v>
      </c>
      <c r="Q13" s="72" t="n">
        <v>0</v>
      </c>
      <c r="R13" s="72" t="n">
        <v>0</v>
      </c>
      <c r="S13" s="72" t="n">
        <v>0</v>
      </c>
      <c r="T13" s="72" t="n">
        <v>0</v>
      </c>
      <c r="U13" s="72" t="n">
        <v>0</v>
      </c>
      <c r="V13" s="72" t="n">
        <v>480</v>
      </c>
      <c r="W13" s="72" t="n">
        <v>0</v>
      </c>
      <c r="X13" s="72" t="n">
        <v>0</v>
      </c>
      <c r="Y13" s="72" t="n">
        <v>0</v>
      </c>
      <c r="Z13" s="72" t="n">
        <v>0</v>
      </c>
      <c r="AA13" s="72" t="n">
        <v>0</v>
      </c>
      <c r="AB13" s="72" t="n">
        <v>0</v>
      </c>
      <c r="AC13" s="72" t="n">
        <v>0</v>
      </c>
      <c r="AD13" s="72" t="n">
        <v>0</v>
      </c>
      <c r="AE13" s="74" t="n">
        <v>0</v>
      </c>
      <c r="AF13" s="75" t="n">
        <v>0</v>
      </c>
      <c r="AG13" s="81"/>
      <c r="AH13" s="71"/>
    </row>
    <row r="14" customFormat="false" ht="15" hidden="false" customHeight="true" outlineLevel="0" collapsed="false">
      <c r="A14" s="76" t="n">
        <v>46055</v>
      </c>
      <c r="B14" s="76" t="s">
        <v>226</v>
      </c>
      <c r="C14" s="77" t="s">
        <v>46</v>
      </c>
      <c r="D14" s="78" t="n">
        <v>0</v>
      </c>
      <c r="E14" s="79" t="n">
        <v>3296.5</v>
      </c>
      <c r="F14" s="63" t="n">
        <v>173.5</v>
      </c>
      <c r="G14" s="78" t="n">
        <v>326.5</v>
      </c>
      <c r="H14" s="78" t="n">
        <v>0</v>
      </c>
      <c r="I14" s="78" t="n">
        <v>0</v>
      </c>
      <c r="J14" s="78" t="n">
        <v>0</v>
      </c>
      <c r="K14" s="78" t="n">
        <v>2970</v>
      </c>
      <c r="L14" s="78" t="n">
        <v>0</v>
      </c>
      <c r="M14" s="78" t="n">
        <v>0</v>
      </c>
      <c r="N14" s="78" t="n">
        <v>0</v>
      </c>
      <c r="O14" s="78" t="n">
        <v>0</v>
      </c>
      <c r="P14" s="80" t="n">
        <v>0</v>
      </c>
      <c r="Q14" s="72" t="n">
        <v>0</v>
      </c>
      <c r="R14" s="72" t="n">
        <v>0</v>
      </c>
      <c r="S14" s="72" t="n">
        <v>0</v>
      </c>
      <c r="T14" s="72" t="n">
        <v>0</v>
      </c>
      <c r="U14" s="72" t="n">
        <v>0</v>
      </c>
      <c r="V14" s="72" t="n">
        <v>3296.5</v>
      </c>
      <c r="W14" s="72" t="n">
        <v>0</v>
      </c>
      <c r="X14" s="72" t="n">
        <v>0</v>
      </c>
      <c r="Y14" s="72" t="n">
        <v>0</v>
      </c>
      <c r="Z14" s="72" t="n">
        <v>0</v>
      </c>
      <c r="AA14" s="72" t="n">
        <v>0</v>
      </c>
      <c r="AB14" s="72" t="n">
        <v>0</v>
      </c>
      <c r="AC14" s="72" t="n">
        <v>0</v>
      </c>
      <c r="AD14" s="72" t="n">
        <v>0</v>
      </c>
      <c r="AE14" s="74" t="n">
        <v>0</v>
      </c>
      <c r="AF14" s="75" t="n">
        <v>0</v>
      </c>
      <c r="AG14" s="81"/>
      <c r="AH14" s="71"/>
    </row>
    <row r="15" customFormat="false" ht="15" hidden="false" customHeight="true" outlineLevel="0" collapsed="false">
      <c r="A15" s="76" t="n">
        <v>46055</v>
      </c>
      <c r="B15" s="76" t="s">
        <v>542</v>
      </c>
      <c r="C15" s="77" t="s">
        <v>46</v>
      </c>
      <c r="D15" s="78" t="n">
        <v>0</v>
      </c>
      <c r="E15" s="79" t="n">
        <v>10358.4</v>
      </c>
      <c r="F15" s="63" t="n">
        <v>2189.6</v>
      </c>
      <c r="G15" s="78" t="n">
        <v>0</v>
      </c>
      <c r="H15" s="78" t="n">
        <v>3158.4</v>
      </c>
      <c r="I15" s="78" t="n">
        <v>0</v>
      </c>
      <c r="J15" s="78" t="n">
        <v>4800</v>
      </c>
      <c r="K15" s="78" t="n">
        <v>2400</v>
      </c>
      <c r="L15" s="78" t="n">
        <v>0</v>
      </c>
      <c r="M15" s="78" t="n">
        <v>0</v>
      </c>
      <c r="N15" s="78" t="n">
        <v>0</v>
      </c>
      <c r="O15" s="78" t="n">
        <v>0</v>
      </c>
      <c r="P15" s="80" t="n">
        <v>0</v>
      </c>
      <c r="Q15" s="72" t="n">
        <v>0</v>
      </c>
      <c r="R15" s="72" t="n">
        <v>0</v>
      </c>
      <c r="S15" s="72" t="n">
        <v>0</v>
      </c>
      <c r="T15" s="72" t="n">
        <v>0</v>
      </c>
      <c r="U15" s="72" t="n">
        <v>10358.4</v>
      </c>
      <c r="V15" s="72" t="n">
        <v>0</v>
      </c>
      <c r="W15" s="72" t="n">
        <v>0</v>
      </c>
      <c r="X15" s="72" t="n">
        <v>0</v>
      </c>
      <c r="Y15" s="72" t="n">
        <v>0</v>
      </c>
      <c r="Z15" s="72" t="n">
        <v>0</v>
      </c>
      <c r="AA15" s="72" t="n">
        <v>0</v>
      </c>
      <c r="AB15" s="72" t="n">
        <v>0</v>
      </c>
      <c r="AC15" s="72" t="n">
        <v>0</v>
      </c>
      <c r="AD15" s="72" t="n">
        <v>0</v>
      </c>
      <c r="AE15" s="74" t="n">
        <v>0</v>
      </c>
      <c r="AF15" s="75" t="n">
        <v>0</v>
      </c>
      <c r="AG15" s="81"/>
      <c r="AH15" s="71" t="s">
        <v>543</v>
      </c>
    </row>
    <row r="16" customFormat="false" ht="15" hidden="false" customHeight="true" outlineLevel="0" collapsed="false">
      <c r="A16" s="76" t="n">
        <v>46055</v>
      </c>
      <c r="B16" s="76" t="s">
        <v>544</v>
      </c>
      <c r="C16" s="77" t="s">
        <v>46</v>
      </c>
      <c r="D16" s="78" t="n">
        <v>0</v>
      </c>
      <c r="E16" s="79" t="n">
        <v>8160</v>
      </c>
      <c r="F16" s="63" t="n">
        <v>0</v>
      </c>
      <c r="G16" s="78" t="n">
        <v>0</v>
      </c>
      <c r="H16" s="78" t="n">
        <v>0</v>
      </c>
      <c r="I16" s="78" t="n">
        <v>0</v>
      </c>
      <c r="J16" s="78" t="n">
        <v>6000</v>
      </c>
      <c r="K16" s="78" t="n">
        <v>2160</v>
      </c>
      <c r="L16" s="78" t="n">
        <v>0</v>
      </c>
      <c r="M16" s="78" t="n">
        <v>0</v>
      </c>
      <c r="N16" s="78" t="n">
        <v>0</v>
      </c>
      <c r="O16" s="78" t="n">
        <v>0</v>
      </c>
      <c r="P16" s="80" t="n">
        <v>0</v>
      </c>
      <c r="Q16" s="72" t="n">
        <v>2500</v>
      </c>
      <c r="R16" s="72" t="n">
        <v>5660</v>
      </c>
      <c r="S16" s="72" t="n">
        <v>0</v>
      </c>
      <c r="T16" s="72" t="n">
        <v>0</v>
      </c>
      <c r="U16" s="72" t="n">
        <v>0</v>
      </c>
      <c r="V16" s="72" t="n">
        <v>0</v>
      </c>
      <c r="W16" s="72" t="n">
        <v>0</v>
      </c>
      <c r="X16" s="72" t="n">
        <v>0</v>
      </c>
      <c r="Y16" s="72" t="n">
        <v>0</v>
      </c>
      <c r="Z16" s="72" t="n">
        <v>0</v>
      </c>
      <c r="AA16" s="72" t="n">
        <v>0</v>
      </c>
      <c r="AB16" s="72" t="n">
        <v>0</v>
      </c>
      <c r="AC16" s="72" t="n">
        <v>0</v>
      </c>
      <c r="AD16" s="72" t="n">
        <v>0</v>
      </c>
      <c r="AE16" s="74" t="n">
        <v>0</v>
      </c>
      <c r="AF16" s="75" t="n">
        <v>0</v>
      </c>
      <c r="AG16" s="81"/>
      <c r="AH16" s="71" t="s">
        <v>545</v>
      </c>
    </row>
    <row r="17" customFormat="false" ht="15" hidden="false" customHeight="true" outlineLevel="0" collapsed="false">
      <c r="A17" s="76" t="n">
        <v>46055</v>
      </c>
      <c r="B17" s="76" t="s">
        <v>546</v>
      </c>
      <c r="C17" s="77" t="s">
        <v>48</v>
      </c>
      <c r="D17" s="78" t="n">
        <v>0</v>
      </c>
      <c r="E17" s="79" t="n">
        <v>0</v>
      </c>
      <c r="F17" s="63" t="n">
        <v>0</v>
      </c>
      <c r="G17" s="78"/>
      <c r="H17" s="78" t="n">
        <v>0</v>
      </c>
      <c r="I17" s="78" t="n">
        <v>0</v>
      </c>
      <c r="J17" s="78" t="n">
        <v>0</v>
      </c>
      <c r="K17" s="78" t="n">
        <v>0</v>
      </c>
      <c r="L17" s="78" t="n">
        <v>0</v>
      </c>
      <c r="M17" s="78" t="n">
        <v>0</v>
      </c>
      <c r="N17" s="78" t="n">
        <v>0</v>
      </c>
      <c r="O17" s="78" t="n">
        <v>0</v>
      </c>
      <c r="P17" s="80" t="n">
        <v>0</v>
      </c>
      <c r="Q17" s="72" t="n">
        <v>0</v>
      </c>
      <c r="R17" s="72" t="n">
        <v>0</v>
      </c>
      <c r="S17" s="72" t="n">
        <v>100</v>
      </c>
      <c r="T17" s="72" t="n">
        <v>0</v>
      </c>
      <c r="U17" s="72" t="n">
        <v>0</v>
      </c>
      <c r="V17" s="72" t="n">
        <v>0</v>
      </c>
      <c r="W17" s="72" t="n">
        <v>0</v>
      </c>
      <c r="X17" s="72" t="n">
        <v>0</v>
      </c>
      <c r="Y17" s="72" t="n">
        <v>0</v>
      </c>
      <c r="Z17" s="72" t="n">
        <v>0</v>
      </c>
      <c r="AA17" s="72" t="n">
        <v>0</v>
      </c>
      <c r="AB17" s="72" t="n">
        <v>0</v>
      </c>
      <c r="AC17" s="72" t="n">
        <v>0</v>
      </c>
      <c r="AD17" s="72" t="n">
        <v>0</v>
      </c>
      <c r="AE17" s="74" t="n">
        <v>0</v>
      </c>
      <c r="AF17" s="75" t="n">
        <v>0</v>
      </c>
      <c r="AG17" s="81"/>
      <c r="AH17" s="71" t="s">
        <v>547</v>
      </c>
    </row>
    <row r="18" customFormat="false" ht="15" hidden="false" customHeight="true" outlineLevel="0" collapsed="false">
      <c r="A18" s="76" t="n">
        <v>46055</v>
      </c>
      <c r="B18" s="76" t="s">
        <v>548</v>
      </c>
      <c r="C18" s="77" t="s">
        <v>48</v>
      </c>
      <c r="D18" s="78" t="n">
        <v>0</v>
      </c>
      <c r="E18" s="79" t="n">
        <v>0</v>
      </c>
      <c r="F18" s="63" t="n">
        <v>0</v>
      </c>
      <c r="G18" s="78" t="n">
        <v>0</v>
      </c>
      <c r="H18" s="78" t="n">
        <v>0</v>
      </c>
      <c r="I18" s="78" t="n">
        <v>0</v>
      </c>
      <c r="J18" s="78" t="n">
        <v>0</v>
      </c>
      <c r="K18" s="78" t="n">
        <v>0</v>
      </c>
      <c r="L18" s="78" t="n">
        <v>0</v>
      </c>
      <c r="M18" s="78" t="n">
        <v>0</v>
      </c>
      <c r="N18" s="78" t="n">
        <v>0</v>
      </c>
      <c r="O18" s="78" t="n">
        <v>0</v>
      </c>
      <c r="P18" s="80" t="n">
        <v>0</v>
      </c>
      <c r="Q18" s="72" t="n">
        <v>0</v>
      </c>
      <c r="R18" s="72" t="n">
        <v>0</v>
      </c>
      <c r="S18" s="72" t="n">
        <v>0</v>
      </c>
      <c r="T18" s="72" t="n">
        <v>0</v>
      </c>
      <c r="U18" s="72" t="n">
        <v>0</v>
      </c>
      <c r="V18" s="72" t="n">
        <v>120</v>
      </c>
      <c r="W18" s="72" t="n">
        <v>0</v>
      </c>
      <c r="X18" s="72" t="n">
        <v>0</v>
      </c>
      <c r="Y18" s="72" t="n">
        <v>0</v>
      </c>
      <c r="Z18" s="72" t="n">
        <v>0</v>
      </c>
      <c r="AA18" s="72" t="n">
        <v>0</v>
      </c>
      <c r="AB18" s="72" t="n">
        <v>0</v>
      </c>
      <c r="AC18" s="72" t="n">
        <v>0</v>
      </c>
      <c r="AD18" s="72" t="n">
        <v>0</v>
      </c>
      <c r="AE18" s="74" t="n">
        <v>0</v>
      </c>
      <c r="AF18" s="75" t="n">
        <v>0</v>
      </c>
      <c r="AG18" s="81"/>
      <c r="AH18" s="71"/>
    </row>
    <row r="19" customFormat="false" ht="15" hidden="false" customHeight="true" outlineLevel="0" collapsed="false">
      <c r="A19" s="76" t="n">
        <v>46055</v>
      </c>
      <c r="B19" s="76" t="s">
        <v>549</v>
      </c>
      <c r="C19" s="77" t="s">
        <v>48</v>
      </c>
      <c r="D19" s="78" t="n">
        <v>0</v>
      </c>
      <c r="E19" s="79" t="n">
        <v>0</v>
      </c>
      <c r="F19" s="63" t="n">
        <v>0</v>
      </c>
      <c r="G19" s="78" t="n">
        <v>0</v>
      </c>
      <c r="H19" s="78" t="n">
        <v>0</v>
      </c>
      <c r="I19" s="78" t="n">
        <v>0</v>
      </c>
      <c r="J19" s="78" t="n">
        <v>0</v>
      </c>
      <c r="K19" s="78" t="n">
        <v>0</v>
      </c>
      <c r="L19" s="78" t="n">
        <v>0</v>
      </c>
      <c r="M19" s="78" t="n">
        <v>0</v>
      </c>
      <c r="N19" s="78" t="n">
        <v>0</v>
      </c>
      <c r="O19" s="78" t="n">
        <v>0</v>
      </c>
      <c r="P19" s="80" t="n">
        <v>0</v>
      </c>
      <c r="Q19" s="72" t="n">
        <v>0</v>
      </c>
      <c r="R19" s="72" t="n">
        <v>0</v>
      </c>
      <c r="S19" s="72" t="n">
        <v>0</v>
      </c>
      <c r="T19" s="72" t="n">
        <v>0</v>
      </c>
      <c r="U19" s="72" t="n">
        <v>0</v>
      </c>
      <c r="V19" s="72" t="n">
        <v>120</v>
      </c>
      <c r="W19" s="72" t="n">
        <v>0</v>
      </c>
      <c r="X19" s="72" t="n">
        <v>0</v>
      </c>
      <c r="Y19" s="72" t="n">
        <v>0</v>
      </c>
      <c r="Z19" s="72" t="n">
        <v>0</v>
      </c>
      <c r="AA19" s="72" t="n">
        <v>0</v>
      </c>
      <c r="AB19" s="72" t="n">
        <v>0</v>
      </c>
      <c r="AC19" s="72" t="n">
        <v>0</v>
      </c>
      <c r="AD19" s="72" t="n">
        <v>0</v>
      </c>
      <c r="AE19" s="74" t="n">
        <v>0</v>
      </c>
      <c r="AF19" s="75" t="n">
        <v>0</v>
      </c>
      <c r="AG19" s="81"/>
      <c r="AH19" s="71"/>
    </row>
    <row r="20" customFormat="false" ht="15" hidden="false" customHeight="true" outlineLevel="0" collapsed="false">
      <c r="A20" s="76" t="n">
        <v>46055</v>
      </c>
      <c r="B20" s="76" t="s">
        <v>60</v>
      </c>
      <c r="C20" s="77" t="s">
        <v>53</v>
      </c>
      <c r="D20" s="78" t="n">
        <v>0</v>
      </c>
      <c r="E20" s="79" t="n">
        <v>0</v>
      </c>
      <c r="F20" s="63" t="n">
        <v>0</v>
      </c>
      <c r="G20" s="78" t="n">
        <v>0</v>
      </c>
      <c r="H20" s="78" t="n">
        <v>0</v>
      </c>
      <c r="I20" s="78" t="n">
        <v>0</v>
      </c>
      <c r="J20" s="78" t="n">
        <v>0</v>
      </c>
      <c r="K20" s="78" t="n">
        <v>0</v>
      </c>
      <c r="L20" s="78" t="n">
        <v>0</v>
      </c>
      <c r="M20" s="78" t="n">
        <v>0</v>
      </c>
      <c r="N20" s="78" t="n">
        <v>0</v>
      </c>
      <c r="O20" s="78" t="n">
        <v>0</v>
      </c>
      <c r="P20" s="80" t="n">
        <v>0</v>
      </c>
      <c r="Q20" s="72" t="n">
        <v>0</v>
      </c>
      <c r="R20" s="72" t="n">
        <v>0</v>
      </c>
      <c r="S20" s="72" t="n">
        <v>0</v>
      </c>
      <c r="T20" s="72" t="n">
        <v>0</v>
      </c>
      <c r="U20" s="72" t="n">
        <v>0</v>
      </c>
      <c r="V20" s="72" t="n">
        <v>0</v>
      </c>
      <c r="W20" s="72" t="n">
        <v>0</v>
      </c>
      <c r="X20" s="72" t="n">
        <v>1216.01</v>
      </c>
      <c r="Y20" s="72" t="n">
        <v>0</v>
      </c>
      <c r="Z20" s="72" t="n">
        <v>0</v>
      </c>
      <c r="AA20" s="72" t="n">
        <v>0</v>
      </c>
      <c r="AB20" s="72" t="n">
        <v>0</v>
      </c>
      <c r="AC20" s="72" t="n">
        <v>0</v>
      </c>
      <c r="AD20" s="72" t="n">
        <v>0</v>
      </c>
      <c r="AE20" s="74" t="n">
        <v>0</v>
      </c>
      <c r="AF20" s="75" t="n">
        <v>0</v>
      </c>
      <c r="AG20" s="81"/>
      <c r="AH20" s="71"/>
    </row>
    <row r="21" customFormat="false" ht="15" hidden="false" customHeight="true" outlineLevel="0" collapsed="false">
      <c r="A21" s="76" t="n">
        <v>46055</v>
      </c>
      <c r="B21" s="76" t="s">
        <v>55</v>
      </c>
      <c r="C21" s="77" t="s">
        <v>53</v>
      </c>
      <c r="D21" s="78" t="n">
        <v>0</v>
      </c>
      <c r="E21" s="79" t="n">
        <v>0</v>
      </c>
      <c r="F21" s="63" t="n">
        <v>0</v>
      </c>
      <c r="G21" s="78" t="n">
        <v>0</v>
      </c>
      <c r="H21" s="78" t="n">
        <v>0</v>
      </c>
      <c r="I21" s="78" t="n">
        <v>0</v>
      </c>
      <c r="J21" s="78" t="n">
        <v>0</v>
      </c>
      <c r="K21" s="78" t="n">
        <v>0</v>
      </c>
      <c r="L21" s="78" t="n">
        <v>0</v>
      </c>
      <c r="M21" s="78" t="n">
        <v>0</v>
      </c>
      <c r="N21" s="78" t="n">
        <v>0</v>
      </c>
      <c r="O21" s="78" t="n">
        <v>0</v>
      </c>
      <c r="P21" s="80" t="n">
        <v>0</v>
      </c>
      <c r="Q21" s="72" t="n">
        <v>0</v>
      </c>
      <c r="R21" s="72" t="n">
        <v>0</v>
      </c>
      <c r="S21" s="72" t="n">
        <v>0</v>
      </c>
      <c r="T21" s="72" t="n">
        <v>0</v>
      </c>
      <c r="U21" s="72" t="n">
        <v>0</v>
      </c>
      <c r="V21" s="72" t="n">
        <v>0</v>
      </c>
      <c r="W21" s="72" t="n">
        <v>0</v>
      </c>
      <c r="X21" s="72" t="n">
        <v>1666.67</v>
      </c>
      <c r="Y21" s="72" t="n">
        <v>0</v>
      </c>
      <c r="Z21" s="72" t="n">
        <v>0</v>
      </c>
      <c r="AA21" s="72" t="n">
        <v>0</v>
      </c>
      <c r="AB21" s="72" t="n">
        <v>0</v>
      </c>
      <c r="AC21" s="72" t="n">
        <v>0</v>
      </c>
      <c r="AD21" s="72" t="n">
        <v>0</v>
      </c>
      <c r="AE21" s="74" t="n">
        <v>0</v>
      </c>
      <c r="AF21" s="75" t="n">
        <v>0</v>
      </c>
      <c r="AG21" s="81"/>
      <c r="AH21" s="71"/>
    </row>
    <row r="22" customFormat="false" ht="15" hidden="false" customHeight="true" outlineLevel="0" collapsed="false">
      <c r="A22" s="76" t="n">
        <v>46056</v>
      </c>
      <c r="B22" s="76" t="s">
        <v>86</v>
      </c>
      <c r="C22" s="77" t="s">
        <v>46</v>
      </c>
      <c r="D22" s="78" t="n">
        <v>600</v>
      </c>
      <c r="E22" s="79" t="n">
        <v>0</v>
      </c>
      <c r="F22" s="63" t="n">
        <v>0</v>
      </c>
      <c r="G22" s="78" t="n">
        <v>0</v>
      </c>
      <c r="H22" s="78" t="n">
        <v>0</v>
      </c>
      <c r="I22" s="78" t="n">
        <v>0</v>
      </c>
      <c r="J22" s="78" t="n">
        <v>0</v>
      </c>
      <c r="K22" s="78" t="n">
        <v>0</v>
      </c>
      <c r="L22" s="78" t="n">
        <v>0</v>
      </c>
      <c r="M22" s="78" t="n">
        <v>0</v>
      </c>
      <c r="N22" s="78" t="n">
        <v>0</v>
      </c>
      <c r="O22" s="78" t="n">
        <v>0</v>
      </c>
      <c r="P22" s="80" t="n">
        <v>0</v>
      </c>
      <c r="Q22" s="72" t="n">
        <v>480</v>
      </c>
      <c r="R22" s="72" t="n">
        <v>0</v>
      </c>
      <c r="S22" s="72" t="n">
        <v>0</v>
      </c>
      <c r="T22" s="72" t="n">
        <v>0</v>
      </c>
      <c r="U22" s="72" t="n">
        <v>0</v>
      </c>
      <c r="V22" s="72" t="n">
        <v>0</v>
      </c>
      <c r="W22" s="72" t="n">
        <v>0</v>
      </c>
      <c r="X22" s="72" t="n">
        <v>0</v>
      </c>
      <c r="Y22" s="72" t="n">
        <v>0</v>
      </c>
      <c r="Z22" s="72" t="n">
        <v>0</v>
      </c>
      <c r="AA22" s="72" t="n">
        <v>0</v>
      </c>
      <c r="AB22" s="72" t="n">
        <v>0</v>
      </c>
      <c r="AC22" s="72" t="n">
        <v>0</v>
      </c>
      <c r="AD22" s="72" t="n">
        <v>0</v>
      </c>
      <c r="AE22" s="74" t="n">
        <v>0</v>
      </c>
      <c r="AF22" s="75" t="n">
        <v>0</v>
      </c>
      <c r="AG22" s="81"/>
      <c r="AH22" s="71"/>
    </row>
    <row r="23" customFormat="false" ht="15" hidden="false" customHeight="true" outlineLevel="0" collapsed="false">
      <c r="A23" s="76" t="n">
        <v>46056</v>
      </c>
      <c r="B23" s="76" t="s">
        <v>86</v>
      </c>
      <c r="C23" s="77" t="s">
        <v>46</v>
      </c>
      <c r="D23" s="78" t="n">
        <v>0</v>
      </c>
      <c r="E23" s="79" t="n">
        <v>3200</v>
      </c>
      <c r="F23" s="63" t="n">
        <v>0</v>
      </c>
      <c r="G23" s="78" t="n">
        <v>3000</v>
      </c>
      <c r="H23" s="78" t="n">
        <v>0</v>
      </c>
      <c r="I23" s="78" t="n">
        <v>0</v>
      </c>
      <c r="J23" s="78" t="n">
        <v>0</v>
      </c>
      <c r="K23" s="78" t="n">
        <v>200</v>
      </c>
      <c r="L23" s="78" t="n">
        <v>0</v>
      </c>
      <c r="M23" s="78" t="n">
        <v>0</v>
      </c>
      <c r="N23" s="78" t="n">
        <v>0</v>
      </c>
      <c r="O23" s="78" t="n">
        <v>0</v>
      </c>
      <c r="P23" s="80" t="n">
        <v>0</v>
      </c>
      <c r="Q23" s="72" t="n">
        <v>0</v>
      </c>
      <c r="R23" s="72" t="n">
        <v>0</v>
      </c>
      <c r="S23" s="72" t="n">
        <v>0</v>
      </c>
      <c r="T23" s="72" t="n">
        <v>0</v>
      </c>
      <c r="U23" s="72" t="n">
        <v>3392</v>
      </c>
      <c r="V23" s="72" t="n">
        <v>0</v>
      </c>
      <c r="W23" s="72" t="n">
        <v>0</v>
      </c>
      <c r="X23" s="72" t="n">
        <v>0</v>
      </c>
      <c r="Y23" s="72" t="n">
        <v>0</v>
      </c>
      <c r="Z23" s="72" t="n">
        <v>192</v>
      </c>
      <c r="AA23" s="72" t="n">
        <v>0</v>
      </c>
      <c r="AB23" s="72" t="n">
        <v>0</v>
      </c>
      <c r="AC23" s="72" t="n">
        <v>0</v>
      </c>
      <c r="AD23" s="72" t="n">
        <v>0</v>
      </c>
      <c r="AE23" s="74" t="n">
        <v>0</v>
      </c>
      <c r="AF23" s="75" t="n">
        <v>0</v>
      </c>
      <c r="AG23" s="81"/>
      <c r="AH23" s="71" t="s">
        <v>550</v>
      </c>
    </row>
    <row r="24" customFormat="false" ht="15" hidden="false" customHeight="true" outlineLevel="0" collapsed="false">
      <c r="A24" s="76" t="n">
        <v>46056</v>
      </c>
      <c r="B24" s="76" t="s">
        <v>551</v>
      </c>
      <c r="C24" s="77" t="s">
        <v>46</v>
      </c>
      <c r="D24" s="78" t="n">
        <v>0</v>
      </c>
      <c r="E24" s="79" t="n">
        <v>4300</v>
      </c>
      <c r="F24" s="63" t="n">
        <v>0</v>
      </c>
      <c r="G24" s="78" t="n">
        <v>0</v>
      </c>
      <c r="H24" s="78" t="n">
        <v>0</v>
      </c>
      <c r="I24" s="78" t="n">
        <v>2800</v>
      </c>
      <c r="J24" s="78" t="n">
        <v>0</v>
      </c>
      <c r="K24" s="78" t="n">
        <v>1500</v>
      </c>
      <c r="L24" s="78" t="n">
        <v>0</v>
      </c>
      <c r="M24" s="78" t="n">
        <v>0</v>
      </c>
      <c r="N24" s="78" t="n">
        <v>0</v>
      </c>
      <c r="O24" s="78" t="n">
        <v>0</v>
      </c>
      <c r="P24" s="80" t="n">
        <v>0</v>
      </c>
      <c r="Q24" s="72" t="n">
        <v>0</v>
      </c>
      <c r="R24" s="72" t="n">
        <v>0</v>
      </c>
      <c r="S24" s="72" t="n">
        <v>0</v>
      </c>
      <c r="T24" s="72" t="n">
        <v>0</v>
      </c>
      <c r="U24" s="72" t="n">
        <v>0</v>
      </c>
      <c r="V24" s="72" t="n">
        <v>1000</v>
      </c>
      <c r="W24" s="72" t="n">
        <v>0</v>
      </c>
      <c r="X24" s="72" t="n">
        <v>0</v>
      </c>
      <c r="Y24" s="72" t="n">
        <v>0</v>
      </c>
      <c r="Z24" s="72" t="n">
        <v>0</v>
      </c>
      <c r="AA24" s="72" t="n">
        <v>0</v>
      </c>
      <c r="AB24" s="72" t="n">
        <v>0</v>
      </c>
      <c r="AC24" s="72" t="n">
        <v>0</v>
      </c>
      <c r="AD24" s="72" t="n">
        <v>0</v>
      </c>
      <c r="AE24" s="74" t="n">
        <v>3300</v>
      </c>
      <c r="AF24" s="75" t="n">
        <v>0</v>
      </c>
      <c r="AG24" s="81" t="s">
        <v>552</v>
      </c>
      <c r="AH24" s="71"/>
    </row>
    <row r="25" customFormat="false" ht="15" hidden="false" customHeight="true" outlineLevel="0" collapsed="false">
      <c r="A25" s="76" t="n">
        <v>46056</v>
      </c>
      <c r="B25" s="76" t="s">
        <v>553</v>
      </c>
      <c r="C25" s="77" t="s">
        <v>46</v>
      </c>
      <c r="D25" s="78" t="n">
        <v>0</v>
      </c>
      <c r="E25" s="79" t="n">
        <v>2160</v>
      </c>
      <c r="F25" s="63" t="n">
        <v>0</v>
      </c>
      <c r="G25" s="78" t="n">
        <v>0</v>
      </c>
      <c r="H25" s="78" t="n">
        <v>0</v>
      </c>
      <c r="I25" s="78" t="n">
        <v>0</v>
      </c>
      <c r="J25" s="78" t="n">
        <v>0</v>
      </c>
      <c r="K25" s="78" t="n">
        <v>2160</v>
      </c>
      <c r="L25" s="78" t="n">
        <v>0</v>
      </c>
      <c r="M25" s="78" t="n">
        <v>0</v>
      </c>
      <c r="N25" s="78" t="n">
        <v>0</v>
      </c>
      <c r="O25" s="78" t="n">
        <v>0</v>
      </c>
      <c r="P25" s="80" t="n">
        <v>0</v>
      </c>
      <c r="Q25" s="72" t="n">
        <v>0</v>
      </c>
      <c r="R25" s="72" t="n">
        <v>2160</v>
      </c>
      <c r="S25" s="72" t="n">
        <v>0</v>
      </c>
      <c r="T25" s="72" t="n">
        <v>0</v>
      </c>
      <c r="U25" s="72" t="n">
        <v>0</v>
      </c>
      <c r="V25" s="72" t="n">
        <v>0</v>
      </c>
      <c r="W25" s="72" t="n">
        <v>0</v>
      </c>
      <c r="X25" s="72" t="n">
        <v>0</v>
      </c>
      <c r="Y25" s="72" t="n">
        <v>0</v>
      </c>
      <c r="Z25" s="72" t="n">
        <v>0</v>
      </c>
      <c r="AA25" s="72" t="n">
        <v>0</v>
      </c>
      <c r="AB25" s="72" t="n">
        <v>0</v>
      </c>
      <c r="AC25" s="72" t="n">
        <v>0</v>
      </c>
      <c r="AD25" s="72" t="n">
        <v>0</v>
      </c>
      <c r="AE25" s="74" t="n">
        <v>0</v>
      </c>
      <c r="AF25" s="75" t="n">
        <v>0</v>
      </c>
      <c r="AG25" s="81"/>
      <c r="AH25" s="71" t="s">
        <v>554</v>
      </c>
    </row>
    <row r="26" customFormat="false" ht="15" hidden="false" customHeight="true" outlineLevel="0" collapsed="false">
      <c r="A26" s="76" t="n">
        <v>46056</v>
      </c>
      <c r="B26" s="76" t="s">
        <v>220</v>
      </c>
      <c r="C26" s="77"/>
      <c r="D26" s="78" t="n">
        <v>0</v>
      </c>
      <c r="E26" s="79" t="n">
        <v>960</v>
      </c>
      <c r="F26" s="63" t="n">
        <v>0</v>
      </c>
      <c r="G26" s="78" t="n">
        <v>0</v>
      </c>
      <c r="H26" s="78" t="n">
        <v>0</v>
      </c>
      <c r="I26" s="78" t="n">
        <v>600</v>
      </c>
      <c r="J26" s="78" t="n">
        <v>0</v>
      </c>
      <c r="K26" s="78" t="n">
        <v>360</v>
      </c>
      <c r="L26" s="78" t="n">
        <v>0</v>
      </c>
      <c r="M26" s="78" t="n">
        <v>0</v>
      </c>
      <c r="N26" s="78" t="n">
        <v>0</v>
      </c>
      <c r="O26" s="78" t="n">
        <v>0</v>
      </c>
      <c r="P26" s="80" t="n">
        <v>0</v>
      </c>
      <c r="Q26" s="72" t="n">
        <v>0</v>
      </c>
      <c r="R26" s="72" t="n">
        <v>0</v>
      </c>
      <c r="S26" s="72" t="n">
        <v>0</v>
      </c>
      <c r="T26" s="72" t="n">
        <v>0</v>
      </c>
      <c r="U26" s="72" t="n">
        <v>0</v>
      </c>
      <c r="V26" s="72" t="n">
        <v>960</v>
      </c>
      <c r="W26" s="72" t="n">
        <v>0</v>
      </c>
      <c r="X26" s="72" t="n">
        <v>0</v>
      </c>
      <c r="Y26" s="72" t="n">
        <v>0</v>
      </c>
      <c r="Z26" s="72" t="n">
        <v>0</v>
      </c>
      <c r="AA26" s="72" t="n">
        <v>0</v>
      </c>
      <c r="AB26" s="72" t="n">
        <v>0</v>
      </c>
      <c r="AC26" s="72" t="n">
        <v>0</v>
      </c>
      <c r="AD26" s="72" t="n">
        <v>0</v>
      </c>
      <c r="AE26" s="74" t="n">
        <v>0</v>
      </c>
      <c r="AF26" s="75" t="n">
        <v>0</v>
      </c>
      <c r="AG26" s="81"/>
      <c r="AH26" s="71"/>
    </row>
    <row r="27" customFormat="false" ht="15" hidden="false" customHeight="true" outlineLevel="0" collapsed="false">
      <c r="A27" s="76" t="n">
        <v>46056</v>
      </c>
      <c r="B27" s="76" t="s">
        <v>555</v>
      </c>
      <c r="C27" s="77" t="s">
        <v>46</v>
      </c>
      <c r="D27" s="78" t="n">
        <v>0</v>
      </c>
      <c r="E27" s="79" t="n">
        <v>5748</v>
      </c>
      <c r="F27" s="63" t="n">
        <v>0</v>
      </c>
      <c r="G27" s="78" t="n">
        <v>0</v>
      </c>
      <c r="H27" s="78" t="n">
        <v>3748</v>
      </c>
      <c r="I27" s="78" t="n">
        <v>1400</v>
      </c>
      <c r="J27" s="78" t="n">
        <v>0</v>
      </c>
      <c r="K27" s="78" t="n">
        <v>600</v>
      </c>
      <c r="L27" s="78" t="n">
        <v>0</v>
      </c>
      <c r="M27" s="78" t="n">
        <v>0</v>
      </c>
      <c r="N27" s="78" t="n">
        <v>0</v>
      </c>
      <c r="O27" s="78" t="n">
        <v>0</v>
      </c>
      <c r="P27" s="80" t="n">
        <v>0</v>
      </c>
      <c r="Q27" s="72" t="n">
        <v>0</v>
      </c>
      <c r="R27" s="72" t="n">
        <v>0</v>
      </c>
      <c r="S27" s="72" t="n">
        <v>0</v>
      </c>
      <c r="T27" s="72" t="n">
        <v>0</v>
      </c>
      <c r="U27" s="72" t="n">
        <v>5748</v>
      </c>
      <c r="V27" s="72" t="n">
        <v>0</v>
      </c>
      <c r="W27" s="72" t="n">
        <v>0</v>
      </c>
      <c r="X27" s="72" t="n">
        <v>0</v>
      </c>
      <c r="Y27" s="72" t="n">
        <v>0</v>
      </c>
      <c r="Z27" s="72" t="n">
        <v>0</v>
      </c>
      <c r="AA27" s="72" t="n">
        <v>0</v>
      </c>
      <c r="AB27" s="72" t="n">
        <v>0</v>
      </c>
      <c r="AC27" s="72" t="n">
        <v>0</v>
      </c>
      <c r="AD27" s="72" t="n">
        <v>0</v>
      </c>
      <c r="AE27" s="74" t="n">
        <v>0</v>
      </c>
      <c r="AF27" s="75" t="n">
        <v>0</v>
      </c>
      <c r="AG27" s="81"/>
      <c r="AH27" s="71" t="s">
        <v>556</v>
      </c>
    </row>
    <row r="28" customFormat="false" ht="15" hidden="false" customHeight="true" outlineLevel="0" collapsed="false">
      <c r="A28" s="76" t="n">
        <v>46056</v>
      </c>
      <c r="B28" s="76" t="s">
        <v>557</v>
      </c>
      <c r="C28" s="77" t="s">
        <v>46</v>
      </c>
      <c r="D28" s="78" t="n">
        <v>0</v>
      </c>
      <c r="E28" s="79" t="n">
        <v>3120</v>
      </c>
      <c r="F28" s="63" t="n">
        <v>0</v>
      </c>
      <c r="G28" s="78" t="n">
        <v>0</v>
      </c>
      <c r="H28" s="78" t="n">
        <v>0</v>
      </c>
      <c r="I28" s="78" t="n">
        <v>1200</v>
      </c>
      <c r="J28" s="78" t="n">
        <v>0</v>
      </c>
      <c r="K28" s="78" t="n">
        <v>1920</v>
      </c>
      <c r="L28" s="78" t="n">
        <v>0</v>
      </c>
      <c r="M28" s="78" t="n">
        <v>0</v>
      </c>
      <c r="N28" s="78" t="n">
        <v>0</v>
      </c>
      <c r="O28" s="78" t="n">
        <v>0</v>
      </c>
      <c r="P28" s="80" t="n">
        <v>0</v>
      </c>
      <c r="Q28" s="72" t="n">
        <v>0</v>
      </c>
      <c r="R28" s="72" t="n">
        <v>0</v>
      </c>
      <c r="S28" s="72" t="n">
        <v>0</v>
      </c>
      <c r="T28" s="72" t="n">
        <v>0</v>
      </c>
      <c r="U28" s="72" t="n">
        <v>3120</v>
      </c>
      <c r="V28" s="72" t="n">
        <v>0</v>
      </c>
      <c r="W28" s="72" t="n">
        <v>0</v>
      </c>
      <c r="X28" s="72" t="n">
        <v>0</v>
      </c>
      <c r="Y28" s="72" t="n">
        <v>0</v>
      </c>
      <c r="Z28" s="72" t="n">
        <v>0</v>
      </c>
      <c r="AA28" s="72" t="n">
        <v>0</v>
      </c>
      <c r="AB28" s="72" t="n">
        <v>0</v>
      </c>
      <c r="AC28" s="72" t="n">
        <v>0</v>
      </c>
      <c r="AD28" s="72" t="n">
        <v>0</v>
      </c>
      <c r="AE28" s="74" t="n">
        <v>0</v>
      </c>
      <c r="AF28" s="75" t="n">
        <v>0</v>
      </c>
      <c r="AG28" s="81"/>
      <c r="AH28" s="71" t="s">
        <v>558</v>
      </c>
    </row>
    <row r="29" customFormat="false" ht="15" hidden="false" customHeight="true" outlineLevel="0" collapsed="false">
      <c r="A29" s="76" t="n">
        <v>46056</v>
      </c>
      <c r="B29" s="76" t="s">
        <v>559</v>
      </c>
      <c r="C29" s="77" t="s">
        <v>46</v>
      </c>
      <c r="D29" s="78" t="n">
        <v>0</v>
      </c>
      <c r="E29" s="79" t="n">
        <v>2160</v>
      </c>
      <c r="F29" s="63" t="n">
        <v>0</v>
      </c>
      <c r="G29" s="78" t="n">
        <v>0</v>
      </c>
      <c r="H29" s="78" t="n">
        <v>0</v>
      </c>
      <c r="I29" s="78" t="n">
        <v>0</v>
      </c>
      <c r="J29" s="78" t="n">
        <v>0</v>
      </c>
      <c r="K29" s="78" t="n">
        <v>2160</v>
      </c>
      <c r="L29" s="78" t="n">
        <v>0</v>
      </c>
      <c r="M29" s="78" t="n">
        <v>0</v>
      </c>
      <c r="N29" s="78" t="n">
        <v>0</v>
      </c>
      <c r="O29" s="78" t="n">
        <v>0</v>
      </c>
      <c r="P29" s="80" t="n">
        <v>0</v>
      </c>
      <c r="Q29" s="72" t="n">
        <v>0</v>
      </c>
      <c r="R29" s="72" t="n">
        <v>0</v>
      </c>
      <c r="S29" s="72" t="n">
        <v>0</v>
      </c>
      <c r="T29" s="72" t="n">
        <v>0</v>
      </c>
      <c r="U29" s="72" t="n">
        <v>0</v>
      </c>
      <c r="V29" s="72" t="n">
        <v>0</v>
      </c>
      <c r="W29" s="72" t="n">
        <v>0</v>
      </c>
      <c r="X29" s="72" t="n">
        <v>0</v>
      </c>
      <c r="Y29" s="72" t="n">
        <v>0</v>
      </c>
      <c r="Z29" s="72" t="n">
        <v>0</v>
      </c>
      <c r="AA29" s="72" t="n">
        <v>0</v>
      </c>
      <c r="AB29" s="72" t="n">
        <v>0</v>
      </c>
      <c r="AC29" s="72" t="n">
        <v>0</v>
      </c>
      <c r="AD29" s="72" t="n">
        <v>0</v>
      </c>
      <c r="AE29" s="74" t="n">
        <v>0</v>
      </c>
      <c r="AF29" s="75" t="n">
        <v>0</v>
      </c>
      <c r="AG29" s="81" t="s">
        <v>560</v>
      </c>
      <c r="AH29" s="71"/>
    </row>
    <row r="30" customFormat="false" ht="15" hidden="false" customHeight="true" outlineLevel="0" collapsed="false">
      <c r="A30" s="76" t="n">
        <v>46056</v>
      </c>
      <c r="B30" s="76" t="s">
        <v>561</v>
      </c>
      <c r="C30" s="77" t="s">
        <v>46</v>
      </c>
      <c r="D30" s="78" t="n">
        <v>0</v>
      </c>
      <c r="E30" s="79" t="n">
        <v>6046</v>
      </c>
      <c r="F30" s="63" t="n">
        <v>0</v>
      </c>
      <c r="G30" s="78" t="n">
        <v>0</v>
      </c>
      <c r="H30" s="78" t="n">
        <v>6046</v>
      </c>
      <c r="I30" s="78" t="n">
        <v>0</v>
      </c>
      <c r="J30" s="78" t="n">
        <v>0</v>
      </c>
      <c r="K30" s="78" t="n">
        <v>0</v>
      </c>
      <c r="L30" s="78" t="n">
        <v>0</v>
      </c>
      <c r="M30" s="78" t="n">
        <v>0</v>
      </c>
      <c r="N30" s="78" t="n">
        <v>0</v>
      </c>
      <c r="O30" s="78" t="n">
        <v>0</v>
      </c>
      <c r="P30" s="80" t="n">
        <v>0</v>
      </c>
      <c r="Q30" s="72" t="n">
        <v>0</v>
      </c>
      <c r="R30" s="72" t="n">
        <v>4000</v>
      </c>
      <c r="S30" s="72" t="n">
        <v>0</v>
      </c>
      <c r="T30" s="72" t="n">
        <v>0</v>
      </c>
      <c r="U30" s="72" t="n">
        <v>0</v>
      </c>
      <c r="V30" s="72" t="n">
        <v>0</v>
      </c>
      <c r="W30" s="72" t="n">
        <v>0</v>
      </c>
      <c r="X30" s="72" t="n">
        <v>0</v>
      </c>
      <c r="Y30" s="72" t="n">
        <v>0</v>
      </c>
      <c r="Z30" s="72" t="n">
        <v>0</v>
      </c>
      <c r="AA30" s="72" t="n">
        <v>0</v>
      </c>
      <c r="AB30" s="72" t="n">
        <v>0</v>
      </c>
      <c r="AC30" s="72" t="n">
        <v>0</v>
      </c>
      <c r="AD30" s="72" t="n">
        <v>0</v>
      </c>
      <c r="AE30" s="74" t="n">
        <v>0</v>
      </c>
      <c r="AF30" s="75" t="n">
        <v>0</v>
      </c>
      <c r="AG30" s="81" t="s">
        <v>562</v>
      </c>
      <c r="AH30" s="71" t="s">
        <v>563</v>
      </c>
    </row>
    <row r="31" customFormat="false" ht="15" hidden="false" customHeight="true" outlineLevel="0" collapsed="false">
      <c r="A31" s="76" t="n">
        <v>46056</v>
      </c>
      <c r="B31" s="76" t="s">
        <v>561</v>
      </c>
      <c r="C31" s="77" t="s">
        <v>48</v>
      </c>
      <c r="D31" s="78" t="n">
        <v>0</v>
      </c>
      <c r="E31" s="79" t="n">
        <v>0</v>
      </c>
      <c r="F31" s="63" t="n">
        <v>0</v>
      </c>
      <c r="G31" s="78" t="n">
        <v>0</v>
      </c>
      <c r="H31" s="78" t="n">
        <v>0</v>
      </c>
      <c r="I31" s="78" t="n">
        <v>0</v>
      </c>
      <c r="J31" s="78" t="n">
        <v>0</v>
      </c>
      <c r="K31" s="78" t="n">
        <v>0</v>
      </c>
      <c r="L31" s="78" t="n">
        <v>0</v>
      </c>
      <c r="M31" s="78" t="n">
        <v>0</v>
      </c>
      <c r="N31" s="78" t="n">
        <v>0</v>
      </c>
      <c r="O31" s="78" t="n">
        <v>0</v>
      </c>
      <c r="P31" s="80" t="n">
        <v>0</v>
      </c>
      <c r="Q31" s="72" t="n">
        <v>0</v>
      </c>
      <c r="R31" s="72" t="n">
        <v>4206</v>
      </c>
      <c r="S31" s="72" t="n">
        <v>0</v>
      </c>
      <c r="T31" s="72" t="n">
        <v>0</v>
      </c>
      <c r="U31" s="72" t="n">
        <v>0</v>
      </c>
      <c r="V31" s="72" t="n">
        <v>0</v>
      </c>
      <c r="W31" s="72" t="n">
        <v>0</v>
      </c>
      <c r="X31" s="72" t="n">
        <v>0</v>
      </c>
      <c r="Y31" s="72" t="n">
        <v>0</v>
      </c>
      <c r="Z31" s="72" t="n">
        <v>0</v>
      </c>
      <c r="AA31" s="72" t="n">
        <v>0</v>
      </c>
      <c r="AB31" s="72" t="n">
        <v>0</v>
      </c>
      <c r="AC31" s="72" t="n">
        <v>0</v>
      </c>
      <c r="AD31" s="72" t="n">
        <v>0</v>
      </c>
      <c r="AE31" s="74" t="n">
        <v>0</v>
      </c>
      <c r="AF31" s="75" t="n">
        <v>0</v>
      </c>
      <c r="AG31" s="81"/>
      <c r="AH31" s="71" t="s">
        <v>564</v>
      </c>
    </row>
    <row r="32" customFormat="false" ht="15.75" hidden="false" customHeight="true" outlineLevel="0" collapsed="false">
      <c r="A32" s="76" t="n">
        <v>46056</v>
      </c>
      <c r="B32" s="76" t="s">
        <v>565</v>
      </c>
      <c r="C32" s="77" t="s">
        <v>53</v>
      </c>
      <c r="D32" s="78" t="n">
        <v>0</v>
      </c>
      <c r="E32" s="79" t="n">
        <v>0</v>
      </c>
      <c r="F32" s="63" t="n">
        <v>0</v>
      </c>
      <c r="G32" s="78" t="n">
        <v>0</v>
      </c>
      <c r="H32" s="78" t="n">
        <v>0</v>
      </c>
      <c r="I32" s="78" t="n">
        <v>0</v>
      </c>
      <c r="J32" s="78" t="n">
        <v>0</v>
      </c>
      <c r="K32" s="78" t="n">
        <v>0</v>
      </c>
      <c r="L32" s="78" t="n">
        <v>0</v>
      </c>
      <c r="M32" s="78" t="n">
        <v>0</v>
      </c>
      <c r="N32" s="78" t="n">
        <v>0</v>
      </c>
      <c r="O32" s="78" t="n">
        <v>0</v>
      </c>
      <c r="P32" s="80" t="n">
        <v>0</v>
      </c>
      <c r="Q32" s="72" t="n">
        <v>0</v>
      </c>
      <c r="R32" s="72" t="n">
        <v>0</v>
      </c>
      <c r="S32" s="72" t="n">
        <v>0</v>
      </c>
      <c r="T32" s="72" t="n">
        <v>0</v>
      </c>
      <c r="U32" s="72" t="n">
        <v>0</v>
      </c>
      <c r="V32" s="72" t="n">
        <v>0</v>
      </c>
      <c r="W32" s="72" t="n">
        <v>0</v>
      </c>
      <c r="X32" s="72" t="n">
        <v>1533.96</v>
      </c>
      <c r="Y32" s="72" t="n">
        <v>0</v>
      </c>
      <c r="Z32" s="72" t="n">
        <v>0</v>
      </c>
      <c r="AA32" s="72" t="n">
        <v>0</v>
      </c>
      <c r="AB32" s="72" t="n">
        <v>0</v>
      </c>
      <c r="AC32" s="72" t="n">
        <v>0</v>
      </c>
      <c r="AD32" s="72" t="n">
        <v>0</v>
      </c>
      <c r="AE32" s="74" t="n">
        <v>0</v>
      </c>
      <c r="AF32" s="75" t="n">
        <v>0</v>
      </c>
      <c r="AG32" s="81"/>
      <c r="AH32" s="71"/>
    </row>
    <row r="33" customFormat="false" ht="15.75" hidden="false" customHeight="true" outlineLevel="0" collapsed="false">
      <c r="A33" s="76" t="n">
        <v>46056</v>
      </c>
      <c r="B33" s="76" t="s">
        <v>61</v>
      </c>
      <c r="C33" s="77" t="s">
        <v>53</v>
      </c>
      <c r="D33" s="78" t="n">
        <v>0</v>
      </c>
      <c r="E33" s="79" t="n">
        <v>0</v>
      </c>
      <c r="F33" s="63" t="n">
        <v>0</v>
      </c>
      <c r="G33" s="78" t="n">
        <v>0</v>
      </c>
      <c r="H33" s="78" t="n">
        <v>0</v>
      </c>
      <c r="I33" s="78" t="n">
        <v>0</v>
      </c>
      <c r="J33" s="78" t="n">
        <v>0</v>
      </c>
      <c r="K33" s="78" t="n">
        <v>0</v>
      </c>
      <c r="L33" s="78" t="n">
        <v>0</v>
      </c>
      <c r="M33" s="78" t="n">
        <v>0</v>
      </c>
      <c r="N33" s="78" t="n">
        <v>0</v>
      </c>
      <c r="O33" s="78" t="n">
        <v>0</v>
      </c>
      <c r="P33" s="80" t="n">
        <v>0</v>
      </c>
      <c r="Q33" s="72" t="n">
        <v>0</v>
      </c>
      <c r="R33" s="72" t="n">
        <v>0</v>
      </c>
      <c r="S33" s="72" t="n">
        <v>0</v>
      </c>
      <c r="T33" s="72" t="n">
        <v>0</v>
      </c>
      <c r="U33" s="72" t="n">
        <v>0</v>
      </c>
      <c r="V33" s="72" t="n">
        <v>0</v>
      </c>
      <c r="W33" s="72" t="n">
        <v>0</v>
      </c>
      <c r="X33" s="72" t="n">
        <v>1000</v>
      </c>
      <c r="Y33" s="72" t="n">
        <v>0</v>
      </c>
      <c r="Z33" s="72" t="n">
        <v>0</v>
      </c>
      <c r="AA33" s="72" t="n">
        <v>0</v>
      </c>
      <c r="AB33" s="72" t="n">
        <v>0</v>
      </c>
      <c r="AC33" s="72" t="n">
        <v>0</v>
      </c>
      <c r="AD33" s="72" t="n">
        <v>0</v>
      </c>
      <c r="AE33" s="74" t="n">
        <v>0</v>
      </c>
      <c r="AF33" s="75" t="n">
        <v>0</v>
      </c>
      <c r="AG33" s="81"/>
      <c r="AH33" s="71"/>
    </row>
    <row r="34" customFormat="false" ht="15.75" hidden="false" customHeight="true" outlineLevel="0" collapsed="false">
      <c r="A34" s="76" t="n">
        <v>46057</v>
      </c>
      <c r="B34" s="76" t="s">
        <v>566</v>
      </c>
      <c r="C34" s="77" t="s">
        <v>46</v>
      </c>
      <c r="D34" s="78" t="n">
        <v>0</v>
      </c>
      <c r="E34" s="79" t="n">
        <v>500</v>
      </c>
      <c r="F34" s="63" t="n">
        <v>0</v>
      </c>
      <c r="G34" s="78" t="n">
        <v>500</v>
      </c>
      <c r="H34" s="78" t="n">
        <v>0</v>
      </c>
      <c r="I34" s="78" t="n">
        <v>0</v>
      </c>
      <c r="J34" s="78" t="n">
        <v>0</v>
      </c>
      <c r="K34" s="78" t="n">
        <v>0</v>
      </c>
      <c r="L34" s="78" t="n">
        <v>0</v>
      </c>
      <c r="M34" s="78" t="n">
        <v>0</v>
      </c>
      <c r="N34" s="78" t="n">
        <v>0</v>
      </c>
      <c r="O34" s="78" t="n">
        <v>0</v>
      </c>
      <c r="P34" s="80" t="n">
        <v>0</v>
      </c>
      <c r="Q34" s="72" t="n">
        <v>0</v>
      </c>
      <c r="R34" s="72" t="n">
        <v>500</v>
      </c>
      <c r="S34" s="72" t="n">
        <v>0</v>
      </c>
      <c r="T34" s="72" t="n">
        <v>0</v>
      </c>
      <c r="U34" s="72" t="n">
        <v>0</v>
      </c>
      <c r="V34" s="72" t="n">
        <v>0</v>
      </c>
      <c r="W34" s="72" t="n">
        <v>0</v>
      </c>
      <c r="X34" s="72" t="n">
        <v>0</v>
      </c>
      <c r="Y34" s="72" t="n">
        <v>0</v>
      </c>
      <c r="Z34" s="72" t="n">
        <v>0</v>
      </c>
      <c r="AA34" s="72" t="n">
        <v>0</v>
      </c>
      <c r="AB34" s="72" t="n">
        <v>0</v>
      </c>
      <c r="AC34" s="72" t="n">
        <v>0</v>
      </c>
      <c r="AD34" s="72" t="n">
        <v>0</v>
      </c>
      <c r="AE34" s="74" t="n">
        <v>0</v>
      </c>
      <c r="AF34" s="75" t="n">
        <v>0</v>
      </c>
      <c r="AG34" s="81"/>
      <c r="AH34" s="71" t="s">
        <v>567</v>
      </c>
    </row>
    <row r="35" customFormat="false" ht="15.75" hidden="false" customHeight="true" outlineLevel="0" collapsed="false">
      <c r="A35" s="76" t="n">
        <v>46057</v>
      </c>
      <c r="B35" s="76" t="s">
        <v>566</v>
      </c>
      <c r="C35" s="77" t="s">
        <v>46</v>
      </c>
      <c r="D35" s="78" t="n">
        <v>0</v>
      </c>
      <c r="E35" s="79" t="n">
        <v>700</v>
      </c>
      <c r="F35" s="63" t="n">
        <v>0</v>
      </c>
      <c r="G35" s="78" t="n">
        <v>500</v>
      </c>
      <c r="H35" s="78" t="n">
        <v>0</v>
      </c>
      <c r="I35" s="78" t="n">
        <v>0</v>
      </c>
      <c r="J35" s="78" t="n">
        <v>0</v>
      </c>
      <c r="K35" s="78" t="n">
        <v>700</v>
      </c>
      <c r="L35" s="78" t="n">
        <v>0</v>
      </c>
      <c r="M35" s="78" t="n">
        <v>0</v>
      </c>
      <c r="N35" s="78" t="n">
        <v>0</v>
      </c>
      <c r="O35" s="78" t="n">
        <v>0</v>
      </c>
      <c r="P35" s="80" t="n">
        <v>0</v>
      </c>
      <c r="Q35" s="72" t="n">
        <v>0</v>
      </c>
      <c r="R35" s="72" t="n">
        <v>700</v>
      </c>
      <c r="S35" s="72" t="n">
        <v>0</v>
      </c>
      <c r="T35" s="72" t="n">
        <v>0</v>
      </c>
      <c r="U35" s="72" t="n">
        <v>0</v>
      </c>
      <c r="V35" s="72" t="n">
        <v>0</v>
      </c>
      <c r="W35" s="72" t="n">
        <v>0</v>
      </c>
      <c r="X35" s="72" t="n">
        <v>0</v>
      </c>
      <c r="Y35" s="72" t="n">
        <v>0</v>
      </c>
      <c r="Z35" s="72" t="n">
        <v>0</v>
      </c>
      <c r="AA35" s="72" t="n">
        <v>0</v>
      </c>
      <c r="AB35" s="72" t="n">
        <v>0</v>
      </c>
      <c r="AC35" s="72" t="n">
        <v>0</v>
      </c>
      <c r="AD35" s="72" t="n">
        <v>0</v>
      </c>
      <c r="AE35" s="74" t="n">
        <v>0</v>
      </c>
      <c r="AF35" s="75" t="n">
        <v>0</v>
      </c>
      <c r="AG35" s="81"/>
      <c r="AH35" s="71" t="s">
        <v>567</v>
      </c>
    </row>
    <row r="36" customFormat="false" ht="15" hidden="false" customHeight="true" outlineLevel="0" collapsed="false">
      <c r="A36" s="76" t="n">
        <v>46057</v>
      </c>
      <c r="B36" s="76" t="s">
        <v>568</v>
      </c>
      <c r="C36" s="77" t="s">
        <v>46</v>
      </c>
      <c r="D36" s="78" t="n">
        <v>0</v>
      </c>
      <c r="E36" s="79" t="n">
        <v>950</v>
      </c>
      <c r="F36" s="63" t="n">
        <v>0</v>
      </c>
      <c r="G36" s="78" t="n">
        <v>0</v>
      </c>
      <c r="H36" s="78" t="n">
        <v>0</v>
      </c>
      <c r="I36" s="78" t="n">
        <v>950</v>
      </c>
      <c r="J36" s="78" t="n">
        <v>0</v>
      </c>
      <c r="K36" s="78" t="n">
        <v>0</v>
      </c>
      <c r="L36" s="78" t="n">
        <v>0</v>
      </c>
      <c r="M36" s="78" t="n">
        <v>0</v>
      </c>
      <c r="N36" s="78" t="n">
        <v>0</v>
      </c>
      <c r="O36" s="78" t="n">
        <v>0</v>
      </c>
      <c r="P36" s="80" t="n">
        <v>0</v>
      </c>
      <c r="Q36" s="72" t="n">
        <v>0</v>
      </c>
      <c r="R36" s="72" t="n">
        <v>950</v>
      </c>
      <c r="S36" s="72" t="n">
        <v>0</v>
      </c>
      <c r="T36" s="72" t="n">
        <v>0</v>
      </c>
      <c r="U36" s="72" t="n">
        <v>0</v>
      </c>
      <c r="V36" s="72" t="n">
        <v>0</v>
      </c>
      <c r="W36" s="72" t="n">
        <v>0</v>
      </c>
      <c r="X36" s="72" t="n">
        <v>0</v>
      </c>
      <c r="Y36" s="72" t="n">
        <v>0</v>
      </c>
      <c r="Z36" s="72" t="n">
        <v>0</v>
      </c>
      <c r="AA36" s="72" t="n">
        <v>0</v>
      </c>
      <c r="AB36" s="72" t="n">
        <v>0</v>
      </c>
      <c r="AC36" s="72" t="n">
        <v>0</v>
      </c>
      <c r="AD36" s="72" t="n">
        <v>0</v>
      </c>
      <c r="AE36" s="74" t="n">
        <v>0</v>
      </c>
      <c r="AF36" s="75" t="n">
        <v>0</v>
      </c>
      <c r="AG36" s="81"/>
      <c r="AH36" s="71" t="s">
        <v>569</v>
      </c>
    </row>
    <row r="37" customFormat="false" ht="15.75" hidden="false" customHeight="true" outlineLevel="0" collapsed="false">
      <c r="A37" s="76" t="n">
        <v>46057</v>
      </c>
      <c r="B37" s="76" t="s">
        <v>244</v>
      </c>
      <c r="C37" s="77" t="s">
        <v>48</v>
      </c>
      <c r="D37" s="78" t="n">
        <v>0</v>
      </c>
      <c r="E37" s="79" t="n">
        <v>0</v>
      </c>
      <c r="F37" s="63" t="n">
        <v>0</v>
      </c>
      <c r="G37" s="78" t="n">
        <v>0</v>
      </c>
      <c r="H37" s="78" t="n">
        <v>0</v>
      </c>
      <c r="I37" s="78" t="n">
        <v>0</v>
      </c>
      <c r="J37" s="78" t="n">
        <v>0</v>
      </c>
      <c r="K37" s="78" t="n">
        <v>0</v>
      </c>
      <c r="L37" s="78" t="n">
        <v>0</v>
      </c>
      <c r="M37" s="78" t="n">
        <v>0</v>
      </c>
      <c r="N37" s="78" t="n">
        <v>0</v>
      </c>
      <c r="O37" s="78" t="n">
        <v>0</v>
      </c>
      <c r="P37" s="80" t="n">
        <v>0</v>
      </c>
      <c r="Q37" s="72" t="n">
        <v>1200</v>
      </c>
      <c r="R37" s="72" t="n">
        <v>0</v>
      </c>
      <c r="S37" s="72" t="n">
        <v>0</v>
      </c>
      <c r="T37" s="72" t="n">
        <v>0</v>
      </c>
      <c r="U37" s="72" t="n">
        <v>0</v>
      </c>
      <c r="V37" s="72" t="n">
        <v>3360</v>
      </c>
      <c r="W37" s="72" t="n">
        <v>0</v>
      </c>
      <c r="X37" s="72" t="n">
        <v>0</v>
      </c>
      <c r="Y37" s="72" t="n">
        <v>0</v>
      </c>
      <c r="Z37" s="72" t="n">
        <v>0</v>
      </c>
      <c r="AA37" s="72" t="n">
        <v>0</v>
      </c>
      <c r="AB37" s="72" t="n">
        <v>0</v>
      </c>
      <c r="AC37" s="72" t="n">
        <v>0</v>
      </c>
      <c r="AD37" s="72" t="n">
        <v>0</v>
      </c>
      <c r="AE37" s="74" t="n">
        <v>0</v>
      </c>
      <c r="AF37" s="75" t="n">
        <v>0</v>
      </c>
      <c r="AG37" s="81"/>
      <c r="AH37" s="71"/>
    </row>
    <row r="38" customFormat="false" ht="15.75" hidden="false" customHeight="true" outlineLevel="0" collapsed="false">
      <c r="A38" s="76" t="n">
        <v>46057</v>
      </c>
      <c r="B38" s="76" t="s">
        <v>570</v>
      </c>
      <c r="C38" s="77" t="s">
        <v>46</v>
      </c>
      <c r="D38" s="78" t="n">
        <v>0</v>
      </c>
      <c r="E38" s="79" t="n">
        <v>6400</v>
      </c>
      <c r="F38" s="63" t="n">
        <v>0</v>
      </c>
      <c r="G38" s="78" t="n">
        <v>0</v>
      </c>
      <c r="H38" s="78" t="n">
        <v>0</v>
      </c>
      <c r="I38" s="78" t="n">
        <v>0</v>
      </c>
      <c r="J38" s="78" t="n">
        <v>0</v>
      </c>
      <c r="K38" s="78" t="n">
        <v>6400</v>
      </c>
      <c r="L38" s="78" t="n">
        <v>0</v>
      </c>
      <c r="M38" s="78" t="n">
        <v>0</v>
      </c>
      <c r="N38" s="78" t="n">
        <v>0</v>
      </c>
      <c r="O38" s="78" t="n">
        <v>0</v>
      </c>
      <c r="P38" s="80" t="n">
        <v>0</v>
      </c>
      <c r="Q38" s="72" t="n">
        <v>0</v>
      </c>
      <c r="R38" s="72" t="n">
        <v>6400</v>
      </c>
      <c r="S38" s="72" t="n">
        <v>0</v>
      </c>
      <c r="T38" s="72" t="n">
        <v>0</v>
      </c>
      <c r="U38" s="72" t="n">
        <v>0</v>
      </c>
      <c r="V38" s="72" t="n">
        <v>0</v>
      </c>
      <c r="W38" s="72" t="n">
        <v>0</v>
      </c>
      <c r="X38" s="72" t="n">
        <v>0</v>
      </c>
      <c r="Y38" s="72" t="n">
        <v>0</v>
      </c>
      <c r="Z38" s="72" t="n">
        <v>0</v>
      </c>
      <c r="AA38" s="72" t="n">
        <v>0</v>
      </c>
      <c r="AB38" s="72" t="n">
        <v>0</v>
      </c>
      <c r="AC38" s="72" t="n">
        <v>0</v>
      </c>
      <c r="AD38" s="72" t="n">
        <v>0</v>
      </c>
      <c r="AE38" s="74" t="n">
        <v>0</v>
      </c>
      <c r="AF38" s="75" t="n">
        <v>0</v>
      </c>
      <c r="AG38" s="81"/>
      <c r="AH38" s="71" t="s">
        <v>571</v>
      </c>
    </row>
    <row r="39" customFormat="false" ht="15.75" hidden="false" customHeight="true" outlineLevel="0" collapsed="false">
      <c r="A39" s="76" t="n">
        <v>46057</v>
      </c>
      <c r="B39" s="76" t="s">
        <v>572</v>
      </c>
      <c r="C39" s="77" t="s">
        <v>46</v>
      </c>
      <c r="D39" s="78" t="n">
        <v>0</v>
      </c>
      <c r="E39" s="79" t="n">
        <v>6700</v>
      </c>
      <c r="F39" s="63" t="n">
        <v>0</v>
      </c>
      <c r="G39" s="78" t="n">
        <v>0</v>
      </c>
      <c r="H39" s="78" t="n">
        <v>0</v>
      </c>
      <c r="I39" s="78" t="n">
        <v>5200</v>
      </c>
      <c r="J39" s="78" t="n">
        <v>1000</v>
      </c>
      <c r="K39" s="78" t="n">
        <v>0</v>
      </c>
      <c r="L39" s="78" t="n">
        <v>0</v>
      </c>
      <c r="M39" s="78" t="n">
        <v>0</v>
      </c>
      <c r="N39" s="78" t="n">
        <v>0</v>
      </c>
      <c r="O39" s="78" t="n">
        <v>0</v>
      </c>
      <c r="P39" s="80" t="n">
        <v>0</v>
      </c>
      <c r="Q39" s="72" t="n">
        <v>0</v>
      </c>
      <c r="R39" s="72" t="n">
        <v>0</v>
      </c>
      <c r="S39" s="72" t="n">
        <v>0</v>
      </c>
      <c r="T39" s="72" t="n">
        <v>0</v>
      </c>
      <c r="U39" s="72" t="n">
        <v>0</v>
      </c>
      <c r="V39" s="72" t="n">
        <v>4860</v>
      </c>
      <c r="W39" s="72" t="n">
        <v>0</v>
      </c>
      <c r="X39" s="72" t="n">
        <v>0</v>
      </c>
      <c r="Y39" s="72" t="n">
        <v>0</v>
      </c>
      <c r="Z39" s="72" t="n">
        <v>0</v>
      </c>
      <c r="AA39" s="72" t="n">
        <v>0</v>
      </c>
      <c r="AB39" s="72" t="n">
        <v>0</v>
      </c>
      <c r="AC39" s="72" t="n">
        <v>0</v>
      </c>
      <c r="AD39" s="72" t="n">
        <v>0</v>
      </c>
      <c r="AE39" s="74" t="n">
        <v>1840</v>
      </c>
      <c r="AF39" s="75" t="n">
        <v>0</v>
      </c>
      <c r="AG39" s="81" t="s">
        <v>552</v>
      </c>
      <c r="AH39" s="71"/>
    </row>
    <row r="40" customFormat="false" ht="15.75" hidden="false" customHeight="true" outlineLevel="0" collapsed="false">
      <c r="A40" s="76" t="n">
        <v>46057</v>
      </c>
      <c r="B40" s="76" t="s">
        <v>573</v>
      </c>
      <c r="C40" s="77" t="s">
        <v>46</v>
      </c>
      <c r="D40" s="78" t="n">
        <v>0</v>
      </c>
      <c r="E40" s="79" t="n">
        <v>8160</v>
      </c>
      <c r="F40" s="63" t="n">
        <v>0</v>
      </c>
      <c r="G40" s="78" t="n">
        <v>0</v>
      </c>
      <c r="H40" s="78" t="n">
        <v>0</v>
      </c>
      <c r="I40" s="78" t="n">
        <v>0</v>
      </c>
      <c r="J40" s="78" t="n">
        <v>0</v>
      </c>
      <c r="K40" s="78" t="n">
        <v>8160</v>
      </c>
      <c r="L40" s="78" t="n">
        <v>0</v>
      </c>
      <c r="M40" s="78" t="n">
        <v>0</v>
      </c>
      <c r="N40" s="78" t="n">
        <v>0</v>
      </c>
      <c r="O40" s="78" t="n">
        <v>0</v>
      </c>
      <c r="P40" s="80" t="n">
        <v>0</v>
      </c>
      <c r="Q40" s="72" t="n">
        <v>0</v>
      </c>
      <c r="R40" s="72" t="n">
        <v>0</v>
      </c>
      <c r="S40" s="72" t="n">
        <v>0</v>
      </c>
      <c r="T40" s="72" t="n">
        <v>0</v>
      </c>
      <c r="U40" s="72" t="n">
        <v>0</v>
      </c>
      <c r="V40" s="72" t="n">
        <v>0</v>
      </c>
      <c r="W40" s="72" t="n">
        <v>0</v>
      </c>
      <c r="X40" s="72" t="n">
        <v>0</v>
      </c>
      <c r="Y40" s="72" t="n">
        <v>0</v>
      </c>
      <c r="Z40" s="72" t="n">
        <v>0</v>
      </c>
      <c r="AA40" s="72" t="n">
        <v>0</v>
      </c>
      <c r="AB40" s="72" t="n">
        <v>0</v>
      </c>
      <c r="AC40" s="72" t="n">
        <v>0</v>
      </c>
      <c r="AD40" s="72" t="n">
        <v>0</v>
      </c>
      <c r="AE40" s="74" t="n">
        <v>8160</v>
      </c>
      <c r="AF40" s="75" t="n">
        <v>0</v>
      </c>
      <c r="AG40" s="81" t="s">
        <v>552</v>
      </c>
      <c r="AH40" s="71"/>
    </row>
    <row r="41" customFormat="false" ht="15.75" hidden="false" customHeight="true" outlineLevel="0" collapsed="false">
      <c r="A41" s="146" t="n">
        <v>46058.125</v>
      </c>
      <c r="B41" s="147" t="s">
        <v>574</v>
      </c>
      <c r="C41" s="147" t="s">
        <v>575</v>
      </c>
      <c r="D41" s="148" t="n">
        <v>600</v>
      </c>
      <c r="E41" s="148" t="n">
        <v>5050</v>
      </c>
      <c r="F41" s="148" t="n">
        <v>600</v>
      </c>
      <c r="G41" s="148" t="n">
        <v>0</v>
      </c>
      <c r="H41" s="148" t="n">
        <v>0</v>
      </c>
      <c r="I41" s="148" t="n">
        <v>5050</v>
      </c>
      <c r="J41" s="148" t="n">
        <v>0</v>
      </c>
      <c r="K41" s="148" t="n">
        <v>600</v>
      </c>
      <c r="L41" s="148" t="n">
        <v>0</v>
      </c>
      <c r="M41" s="148" t="n">
        <v>0</v>
      </c>
      <c r="N41" s="148" t="n">
        <v>0</v>
      </c>
      <c r="O41" s="148" t="n">
        <v>0</v>
      </c>
      <c r="P41" s="148" t="n">
        <v>0</v>
      </c>
      <c r="Q41" s="148" t="n">
        <v>0</v>
      </c>
      <c r="R41" s="148" t="n">
        <v>5650</v>
      </c>
      <c r="S41" s="148" t="n">
        <v>0</v>
      </c>
      <c r="T41" s="148" t="n">
        <v>0</v>
      </c>
      <c r="U41" s="148" t="n">
        <v>0</v>
      </c>
      <c r="V41" s="148" t="n">
        <v>0</v>
      </c>
      <c r="W41" s="148" t="n">
        <v>0</v>
      </c>
      <c r="X41" s="148" t="n">
        <v>0</v>
      </c>
      <c r="Y41" s="72"/>
      <c r="Z41" s="148" t="n">
        <v>0</v>
      </c>
      <c r="AA41" s="148" t="n">
        <v>0</v>
      </c>
      <c r="AB41" s="148" t="n">
        <v>0</v>
      </c>
      <c r="AC41" s="148" t="n">
        <v>0</v>
      </c>
      <c r="AD41" s="148" t="n">
        <v>0</v>
      </c>
      <c r="AE41" s="148" t="n">
        <v>0</v>
      </c>
      <c r="AF41" s="148" t="n">
        <v>0</v>
      </c>
      <c r="AG41" s="81"/>
      <c r="AH41" s="71"/>
    </row>
    <row r="42" customFormat="false" ht="15.75" hidden="false" customHeight="true" outlineLevel="0" collapsed="false">
      <c r="A42" s="146" t="n">
        <v>46058.125</v>
      </c>
      <c r="B42" s="147" t="s">
        <v>549</v>
      </c>
      <c r="C42" s="147" t="s">
        <v>576</v>
      </c>
      <c r="D42" s="148" t="n">
        <v>480</v>
      </c>
      <c r="E42" s="148" t="n">
        <v>0</v>
      </c>
      <c r="F42" s="63"/>
      <c r="G42" s="148" t="n">
        <v>0</v>
      </c>
      <c r="H42" s="148" t="n">
        <v>0</v>
      </c>
      <c r="I42" s="148" t="n">
        <v>0</v>
      </c>
      <c r="J42" s="148" t="n">
        <v>0</v>
      </c>
      <c r="K42" s="148" t="n">
        <v>0</v>
      </c>
      <c r="L42" s="148" t="n">
        <v>0</v>
      </c>
      <c r="M42" s="148" t="n">
        <v>0</v>
      </c>
      <c r="N42" s="148" t="n">
        <v>0</v>
      </c>
      <c r="O42" s="148" t="n">
        <v>0</v>
      </c>
      <c r="P42" s="148" t="n">
        <v>0</v>
      </c>
      <c r="Q42" s="148" t="n">
        <v>0</v>
      </c>
      <c r="R42" s="148" t="n">
        <v>480</v>
      </c>
      <c r="S42" s="148" t="n">
        <v>0</v>
      </c>
      <c r="T42" s="148" t="n">
        <v>0</v>
      </c>
      <c r="U42" s="148" t="n">
        <v>0</v>
      </c>
      <c r="V42" s="148" t="n">
        <v>0</v>
      </c>
      <c r="W42" s="148" t="n">
        <v>0</v>
      </c>
      <c r="X42" s="148" t="n">
        <v>0</v>
      </c>
      <c r="Y42" s="72"/>
      <c r="Z42" s="148" t="n">
        <v>0</v>
      </c>
      <c r="AA42" s="148" t="n">
        <v>0</v>
      </c>
      <c r="AB42" s="148" t="n">
        <v>0</v>
      </c>
      <c r="AC42" s="148" t="n">
        <v>0</v>
      </c>
      <c r="AD42" s="148" t="n">
        <v>0</v>
      </c>
      <c r="AE42" s="148" t="n">
        <v>0</v>
      </c>
      <c r="AF42" s="148" t="n">
        <v>0</v>
      </c>
      <c r="AG42" s="81"/>
      <c r="AH42" s="71"/>
    </row>
    <row r="43" customFormat="false" ht="15.75" hidden="false" customHeight="true" outlineLevel="0" collapsed="false">
      <c r="A43" s="146" t="n">
        <v>46058.125</v>
      </c>
      <c r="B43" s="147" t="s">
        <v>577</v>
      </c>
      <c r="C43" s="77"/>
      <c r="D43" s="148" t="n">
        <v>0</v>
      </c>
      <c r="E43" s="148" t="n">
        <v>900</v>
      </c>
      <c r="F43" s="63"/>
      <c r="G43" s="148" t="n">
        <v>900</v>
      </c>
      <c r="H43" s="148" t="n">
        <v>0</v>
      </c>
      <c r="I43" s="148" t="n">
        <v>0</v>
      </c>
      <c r="J43" s="148" t="n">
        <v>0</v>
      </c>
      <c r="K43" s="148" t="n">
        <v>0</v>
      </c>
      <c r="L43" s="148" t="n">
        <v>0</v>
      </c>
      <c r="M43" s="148" t="n">
        <v>0</v>
      </c>
      <c r="N43" s="148" t="n">
        <v>0</v>
      </c>
      <c r="O43" s="148" t="n">
        <v>0</v>
      </c>
      <c r="P43" s="148" t="n">
        <v>0</v>
      </c>
      <c r="Q43" s="148" t="n">
        <v>0</v>
      </c>
      <c r="R43" s="148" t="n">
        <v>0</v>
      </c>
      <c r="S43" s="148" t="n">
        <v>0</v>
      </c>
      <c r="T43" s="148" t="n">
        <v>900</v>
      </c>
      <c r="U43" s="148" t="n">
        <v>0</v>
      </c>
      <c r="V43" s="148" t="n">
        <v>0</v>
      </c>
      <c r="W43" s="148" t="n">
        <v>0</v>
      </c>
      <c r="X43" s="148" t="n">
        <v>0</v>
      </c>
      <c r="Y43" s="72"/>
      <c r="Z43" s="148" t="n">
        <v>0</v>
      </c>
      <c r="AA43" s="148" t="n">
        <v>0</v>
      </c>
      <c r="AB43" s="148" t="n">
        <v>0</v>
      </c>
      <c r="AC43" s="148" t="n">
        <v>0</v>
      </c>
      <c r="AD43" s="148" t="n">
        <v>0</v>
      </c>
      <c r="AE43" s="148" t="n">
        <v>0</v>
      </c>
      <c r="AF43" s="148" t="n">
        <v>0</v>
      </c>
      <c r="AG43" s="81"/>
      <c r="AH43" s="71"/>
    </row>
    <row r="44" customFormat="false" ht="15.75" hidden="false" customHeight="true" outlineLevel="0" collapsed="false">
      <c r="A44" s="146" t="n">
        <v>46058.125</v>
      </c>
      <c r="B44" s="147" t="s">
        <v>578</v>
      </c>
      <c r="C44" s="147" t="s">
        <v>579</v>
      </c>
      <c r="D44" s="148" t="n">
        <v>500</v>
      </c>
      <c r="E44" s="148" t="n">
        <v>18149</v>
      </c>
      <c r="F44" s="63"/>
      <c r="G44" s="148" t="n">
        <v>0</v>
      </c>
      <c r="H44" s="148" t="n">
        <v>3249</v>
      </c>
      <c r="I44" s="148" t="n">
        <v>2400</v>
      </c>
      <c r="J44" s="148" t="n">
        <v>6000</v>
      </c>
      <c r="K44" s="148" t="n">
        <v>6000</v>
      </c>
      <c r="L44" s="148" t="n">
        <v>0</v>
      </c>
      <c r="M44" s="148" t="n">
        <v>0</v>
      </c>
      <c r="N44" s="148" t="n">
        <v>500</v>
      </c>
      <c r="O44" s="148" t="n">
        <v>0</v>
      </c>
      <c r="P44" s="148" t="n">
        <v>0</v>
      </c>
      <c r="Q44" s="148" t="n">
        <v>0</v>
      </c>
      <c r="R44" s="148" t="n">
        <v>5500</v>
      </c>
      <c r="S44" s="148" t="n">
        <v>0</v>
      </c>
      <c r="T44" s="148" t="n">
        <v>0</v>
      </c>
      <c r="U44" s="148" t="n">
        <v>0</v>
      </c>
      <c r="V44" s="148" t="n">
        <v>0</v>
      </c>
      <c r="W44" s="148" t="n">
        <v>0</v>
      </c>
      <c r="X44" s="148" t="n">
        <v>0</v>
      </c>
      <c r="Y44" s="72"/>
      <c r="Z44" s="148" t="n">
        <v>0</v>
      </c>
      <c r="AA44" s="148" t="n">
        <v>0</v>
      </c>
      <c r="AB44" s="148" t="n">
        <v>0</v>
      </c>
      <c r="AC44" s="148" t="n">
        <v>0</v>
      </c>
      <c r="AD44" s="148" t="n">
        <v>0</v>
      </c>
      <c r="AE44" s="148" t="n">
        <v>0</v>
      </c>
      <c r="AF44" s="148" t="n">
        <v>0</v>
      </c>
      <c r="AG44" s="81"/>
      <c r="AH44" s="71"/>
    </row>
    <row r="45" customFormat="false" ht="15.75" hidden="false" customHeight="true" outlineLevel="0" collapsed="false">
      <c r="A45" s="146" t="n">
        <v>46058.125</v>
      </c>
      <c r="B45" s="147" t="s">
        <v>51</v>
      </c>
      <c r="C45" s="77"/>
      <c r="D45" s="148" t="n">
        <v>0</v>
      </c>
      <c r="E45" s="148" t="n">
        <v>0</v>
      </c>
      <c r="F45" s="63"/>
      <c r="G45" s="148" t="n">
        <v>0</v>
      </c>
      <c r="H45" s="148" t="n">
        <v>0</v>
      </c>
      <c r="I45" s="148" t="n">
        <v>0</v>
      </c>
      <c r="J45" s="148" t="n">
        <v>0</v>
      </c>
      <c r="K45" s="148" t="n">
        <v>0</v>
      </c>
      <c r="L45" s="148" t="n">
        <v>0</v>
      </c>
      <c r="M45" s="148" t="n">
        <v>0</v>
      </c>
      <c r="N45" s="148" t="n">
        <v>0</v>
      </c>
      <c r="O45" s="148" t="n">
        <v>0</v>
      </c>
      <c r="P45" s="148" t="n">
        <v>0</v>
      </c>
      <c r="Q45" s="148" t="n">
        <v>0</v>
      </c>
      <c r="R45" s="148" t="n">
        <v>0</v>
      </c>
      <c r="S45" s="148" t="n">
        <v>0</v>
      </c>
      <c r="T45" s="148" t="n">
        <v>2800</v>
      </c>
      <c r="U45" s="148" t="n">
        <v>0</v>
      </c>
      <c r="V45" s="148" t="n">
        <v>0</v>
      </c>
      <c r="W45" s="148" t="n">
        <v>0</v>
      </c>
      <c r="X45" s="148" t="n">
        <v>0</v>
      </c>
      <c r="Y45" s="72"/>
      <c r="Z45" s="148" t="n">
        <v>0</v>
      </c>
      <c r="AA45" s="148" t="n">
        <v>0</v>
      </c>
      <c r="AB45" s="148" t="n">
        <v>0</v>
      </c>
      <c r="AC45" s="148" t="n">
        <v>0</v>
      </c>
      <c r="AD45" s="148" t="n">
        <v>0</v>
      </c>
      <c r="AE45" s="148" t="n">
        <v>0</v>
      </c>
      <c r="AF45" s="148" t="n">
        <v>0</v>
      </c>
      <c r="AG45" s="147" t="s">
        <v>580</v>
      </c>
      <c r="AH45" s="71"/>
    </row>
    <row r="46" customFormat="false" ht="15.75" hidden="false" customHeight="true" outlineLevel="0" collapsed="false">
      <c r="A46" s="146" t="n">
        <v>46058.125</v>
      </c>
      <c r="B46" s="147" t="s">
        <v>103</v>
      </c>
      <c r="C46" s="147" t="s">
        <v>581</v>
      </c>
      <c r="D46" s="148" t="n">
        <v>0</v>
      </c>
      <c r="E46" s="148" t="n">
        <v>0</v>
      </c>
      <c r="F46" s="63"/>
      <c r="G46" s="148" t="n">
        <v>0</v>
      </c>
      <c r="H46" s="148" t="n">
        <v>0</v>
      </c>
      <c r="I46" s="148" t="n">
        <v>0</v>
      </c>
      <c r="J46" s="148" t="n">
        <v>0</v>
      </c>
      <c r="K46" s="148" t="n">
        <v>0</v>
      </c>
      <c r="L46" s="148" t="n">
        <v>0</v>
      </c>
      <c r="M46" s="148" t="n">
        <v>0</v>
      </c>
      <c r="N46" s="148" t="n">
        <v>0</v>
      </c>
      <c r="O46" s="148" t="n">
        <v>0</v>
      </c>
      <c r="P46" s="148" t="n">
        <v>0</v>
      </c>
      <c r="Q46" s="148" t="n">
        <v>0</v>
      </c>
      <c r="R46" s="148" t="n">
        <v>2500</v>
      </c>
      <c r="S46" s="148" t="n">
        <v>0</v>
      </c>
      <c r="T46" s="148" t="n">
        <v>0</v>
      </c>
      <c r="U46" s="148" t="n">
        <v>0</v>
      </c>
      <c r="V46" s="148" t="n">
        <v>0</v>
      </c>
      <c r="W46" s="148" t="n">
        <v>0</v>
      </c>
      <c r="X46" s="148" t="n">
        <v>0</v>
      </c>
      <c r="Y46" s="72"/>
      <c r="Z46" s="148" t="n">
        <v>0</v>
      </c>
      <c r="AA46" s="148" t="n">
        <v>0</v>
      </c>
      <c r="AB46" s="148" t="n">
        <v>0</v>
      </c>
      <c r="AC46" s="148" t="n">
        <v>0</v>
      </c>
      <c r="AD46" s="148" t="n">
        <v>0</v>
      </c>
      <c r="AE46" s="148" t="n">
        <v>0</v>
      </c>
      <c r="AF46" s="148" t="n">
        <v>0</v>
      </c>
      <c r="AG46" s="147" t="s">
        <v>580</v>
      </c>
      <c r="AH46" s="71"/>
    </row>
    <row r="47" customFormat="false" ht="15.75" hidden="false" customHeight="true" outlineLevel="0" collapsed="false">
      <c r="A47" s="146" t="n">
        <v>46058.125</v>
      </c>
      <c r="B47" s="147" t="s">
        <v>582</v>
      </c>
      <c r="C47" s="77"/>
      <c r="D47" s="148" t="n">
        <v>0</v>
      </c>
      <c r="E47" s="148" t="n">
        <v>330</v>
      </c>
      <c r="F47" s="63"/>
      <c r="G47" s="148" t="n">
        <v>0</v>
      </c>
      <c r="H47" s="148" t="n">
        <v>0</v>
      </c>
      <c r="I47" s="148" t="n">
        <v>0</v>
      </c>
      <c r="J47" s="148" t="n">
        <v>0</v>
      </c>
      <c r="K47" s="148" t="n">
        <v>330</v>
      </c>
      <c r="L47" s="148" t="n">
        <v>0</v>
      </c>
      <c r="M47" s="148" t="n">
        <v>0</v>
      </c>
      <c r="N47" s="148" t="n">
        <v>0</v>
      </c>
      <c r="O47" s="148" t="n">
        <v>0</v>
      </c>
      <c r="P47" s="148" t="n">
        <v>0</v>
      </c>
      <c r="Q47" s="148" t="n">
        <v>0</v>
      </c>
      <c r="R47" s="148" t="n">
        <v>0</v>
      </c>
      <c r="S47" s="148" t="n">
        <v>0</v>
      </c>
      <c r="T47" s="148" t="n">
        <v>0</v>
      </c>
      <c r="U47" s="148" t="n">
        <v>0</v>
      </c>
      <c r="V47" s="148" t="n">
        <v>330</v>
      </c>
      <c r="W47" s="148" t="n">
        <v>0</v>
      </c>
      <c r="X47" s="148" t="n">
        <v>0</v>
      </c>
      <c r="Y47" s="72"/>
      <c r="Z47" s="148" t="n">
        <v>0</v>
      </c>
      <c r="AA47" s="148" t="n">
        <v>0</v>
      </c>
      <c r="AB47" s="148" t="n">
        <v>0</v>
      </c>
      <c r="AC47" s="148" t="n">
        <v>0</v>
      </c>
      <c r="AD47" s="148" t="n">
        <v>0</v>
      </c>
      <c r="AE47" s="148" t="n">
        <v>0</v>
      </c>
      <c r="AF47" s="148" t="n">
        <v>0</v>
      </c>
      <c r="AG47" s="81"/>
      <c r="AH47" s="71"/>
    </row>
    <row r="48" customFormat="false" ht="15" hidden="false" customHeight="true" outlineLevel="0" collapsed="false">
      <c r="A48" s="146" t="n">
        <v>46058.125</v>
      </c>
      <c r="B48" s="147" t="s">
        <v>58</v>
      </c>
      <c r="C48" s="77"/>
      <c r="D48" s="148" t="n">
        <v>0</v>
      </c>
      <c r="E48" s="148" t="n">
        <v>0</v>
      </c>
      <c r="F48" s="63"/>
      <c r="G48" s="148" t="n">
        <v>0</v>
      </c>
      <c r="H48" s="148" t="n">
        <v>0</v>
      </c>
      <c r="I48" s="148" t="n">
        <v>0</v>
      </c>
      <c r="J48" s="148" t="n">
        <v>0</v>
      </c>
      <c r="K48" s="148" t="n">
        <v>0</v>
      </c>
      <c r="L48" s="148" t="n">
        <v>0</v>
      </c>
      <c r="M48" s="148" t="n">
        <v>0</v>
      </c>
      <c r="N48" s="148" t="n">
        <v>0</v>
      </c>
      <c r="O48" s="148" t="n">
        <v>0</v>
      </c>
      <c r="P48" s="148" t="n">
        <v>0</v>
      </c>
      <c r="Q48" s="148" t="n">
        <v>0</v>
      </c>
      <c r="R48" s="148" t="n">
        <v>0</v>
      </c>
      <c r="S48" s="148" t="n">
        <v>0</v>
      </c>
      <c r="T48" s="148" t="n">
        <v>0</v>
      </c>
      <c r="U48" s="148" t="n">
        <v>0</v>
      </c>
      <c r="V48" s="148" t="n">
        <v>0</v>
      </c>
      <c r="W48" s="148" t="n">
        <v>0</v>
      </c>
      <c r="X48" s="148" t="n">
        <v>1000</v>
      </c>
      <c r="Y48" s="72"/>
      <c r="Z48" s="148" t="n">
        <v>0</v>
      </c>
      <c r="AA48" s="148" t="n">
        <v>0</v>
      </c>
      <c r="AB48" s="148" t="n">
        <v>0</v>
      </c>
      <c r="AC48" s="148" t="n">
        <v>0</v>
      </c>
      <c r="AD48" s="148" t="n">
        <v>0</v>
      </c>
      <c r="AE48" s="148" t="n">
        <v>0</v>
      </c>
      <c r="AF48" s="148" t="n">
        <v>0</v>
      </c>
      <c r="AG48" s="147" t="s">
        <v>580</v>
      </c>
      <c r="AH48" s="71"/>
    </row>
    <row r="49" customFormat="false" ht="15.75" hidden="false" customHeight="true" outlineLevel="0" collapsed="false">
      <c r="A49" s="146" t="n">
        <v>46058.125</v>
      </c>
      <c r="B49" s="147" t="s">
        <v>52</v>
      </c>
      <c r="C49" s="77"/>
      <c r="D49" s="148" t="n">
        <v>0</v>
      </c>
      <c r="E49" s="148" t="n">
        <v>0</v>
      </c>
      <c r="F49" s="63"/>
      <c r="G49" s="148" t="n">
        <v>0</v>
      </c>
      <c r="H49" s="148" t="n">
        <v>0</v>
      </c>
      <c r="I49" s="148" t="n">
        <v>0</v>
      </c>
      <c r="J49" s="148" t="n">
        <v>0</v>
      </c>
      <c r="K49" s="148" t="n">
        <v>0</v>
      </c>
      <c r="L49" s="148" t="n">
        <v>0</v>
      </c>
      <c r="M49" s="148" t="n">
        <v>0</v>
      </c>
      <c r="N49" s="148" t="n">
        <v>0</v>
      </c>
      <c r="O49" s="148" t="n">
        <v>0</v>
      </c>
      <c r="P49" s="148" t="n">
        <v>0</v>
      </c>
      <c r="Q49" s="148" t="n">
        <v>0</v>
      </c>
      <c r="R49" s="148" t="n">
        <v>0</v>
      </c>
      <c r="S49" s="148" t="n">
        <v>0</v>
      </c>
      <c r="T49" s="148" t="n">
        <v>0</v>
      </c>
      <c r="U49" s="148" t="n">
        <v>0</v>
      </c>
      <c r="V49" s="148" t="n">
        <v>0</v>
      </c>
      <c r="W49" s="148" t="n">
        <v>0</v>
      </c>
      <c r="X49" s="148" t="n">
        <v>835</v>
      </c>
      <c r="Y49" s="72"/>
      <c r="Z49" s="148" t="n">
        <v>0</v>
      </c>
      <c r="AA49" s="148" t="n">
        <v>0</v>
      </c>
      <c r="AB49" s="148" t="n">
        <v>0</v>
      </c>
      <c r="AC49" s="148" t="n">
        <v>0</v>
      </c>
      <c r="AD49" s="148" t="n">
        <v>0</v>
      </c>
      <c r="AE49" s="148" t="n">
        <v>0</v>
      </c>
      <c r="AF49" s="148" t="n">
        <v>0</v>
      </c>
      <c r="AG49" s="147" t="s">
        <v>580</v>
      </c>
      <c r="AH49" s="71"/>
    </row>
    <row r="50" customFormat="false" ht="15.75" hidden="false" customHeight="true" outlineLevel="0" collapsed="false">
      <c r="A50" s="146" t="n">
        <v>46058.125</v>
      </c>
      <c r="B50" s="147" t="s">
        <v>574</v>
      </c>
      <c r="C50" s="147" t="s">
        <v>575</v>
      </c>
      <c r="D50" s="148" t="n">
        <v>600</v>
      </c>
      <c r="E50" s="148" t="n">
        <v>5050</v>
      </c>
      <c r="F50" s="148" t="n">
        <v>600</v>
      </c>
      <c r="G50" s="148" t="n">
        <v>0</v>
      </c>
      <c r="H50" s="148" t="n">
        <v>0</v>
      </c>
      <c r="I50" s="148" t="n">
        <v>5050</v>
      </c>
      <c r="J50" s="148" t="n">
        <v>0</v>
      </c>
      <c r="K50" s="148" t="n">
        <v>600</v>
      </c>
      <c r="L50" s="148" t="n">
        <v>0</v>
      </c>
      <c r="M50" s="148" t="n">
        <v>0</v>
      </c>
      <c r="N50" s="148" t="n">
        <v>0</v>
      </c>
      <c r="O50" s="148" t="n">
        <v>0</v>
      </c>
      <c r="P50" s="148" t="n">
        <v>0</v>
      </c>
      <c r="Q50" s="148" t="n">
        <v>0</v>
      </c>
      <c r="R50" s="148" t="n">
        <v>5650</v>
      </c>
      <c r="S50" s="148" t="n">
        <v>0</v>
      </c>
      <c r="T50" s="148" t="n">
        <v>0</v>
      </c>
      <c r="U50" s="148" t="n">
        <v>0</v>
      </c>
      <c r="V50" s="148" t="n">
        <v>0</v>
      </c>
      <c r="W50" s="148" t="n">
        <v>0</v>
      </c>
      <c r="X50" s="148" t="n">
        <v>0</v>
      </c>
      <c r="Y50" s="72"/>
      <c r="Z50" s="148" t="n">
        <v>0</v>
      </c>
      <c r="AA50" s="148" t="n">
        <v>0</v>
      </c>
      <c r="AB50" s="148" t="n">
        <v>0</v>
      </c>
      <c r="AC50" s="148" t="n">
        <v>0</v>
      </c>
      <c r="AD50" s="148" t="n">
        <v>0</v>
      </c>
      <c r="AE50" s="148" t="n">
        <v>0</v>
      </c>
      <c r="AF50" s="148" t="n">
        <v>0</v>
      </c>
      <c r="AG50" s="81"/>
      <c r="AH50" s="71"/>
    </row>
    <row r="51" customFormat="false" ht="15.75" hidden="false" customHeight="true" outlineLevel="0" collapsed="false">
      <c r="A51" s="146" t="n">
        <v>46058.125</v>
      </c>
      <c r="B51" s="147" t="s">
        <v>549</v>
      </c>
      <c r="C51" s="147" t="s">
        <v>576</v>
      </c>
      <c r="D51" s="148" t="n">
        <v>480</v>
      </c>
      <c r="E51" s="148" t="n">
        <v>0</v>
      </c>
      <c r="F51" s="148" t="n">
        <v>0</v>
      </c>
      <c r="G51" s="148" t="n">
        <v>0</v>
      </c>
      <c r="H51" s="148" t="n">
        <v>0</v>
      </c>
      <c r="I51" s="148" t="n">
        <v>0</v>
      </c>
      <c r="J51" s="148" t="n">
        <v>0</v>
      </c>
      <c r="K51" s="148" t="n">
        <v>0</v>
      </c>
      <c r="L51" s="148" t="n">
        <v>0</v>
      </c>
      <c r="M51" s="148" t="n">
        <v>0</v>
      </c>
      <c r="N51" s="148" t="n">
        <v>0</v>
      </c>
      <c r="O51" s="148" t="n">
        <v>0</v>
      </c>
      <c r="P51" s="148" t="n">
        <v>0</v>
      </c>
      <c r="Q51" s="148" t="n">
        <v>0</v>
      </c>
      <c r="R51" s="148" t="n">
        <v>480</v>
      </c>
      <c r="S51" s="148" t="n">
        <v>0</v>
      </c>
      <c r="T51" s="148" t="n">
        <v>0</v>
      </c>
      <c r="U51" s="148" t="n">
        <v>0</v>
      </c>
      <c r="V51" s="148" t="n">
        <v>0</v>
      </c>
      <c r="W51" s="148" t="n">
        <v>0</v>
      </c>
      <c r="X51" s="148" t="n">
        <v>0</v>
      </c>
      <c r="Y51" s="72"/>
      <c r="Z51" s="148" t="n">
        <v>0</v>
      </c>
      <c r="AA51" s="148" t="n">
        <v>0</v>
      </c>
      <c r="AB51" s="148" t="n">
        <v>0</v>
      </c>
      <c r="AC51" s="148" t="n">
        <v>0</v>
      </c>
      <c r="AD51" s="148" t="n">
        <v>0</v>
      </c>
      <c r="AE51" s="148" t="n">
        <v>0</v>
      </c>
      <c r="AF51" s="148" t="n">
        <v>0</v>
      </c>
      <c r="AG51" s="81"/>
      <c r="AH51" s="71"/>
    </row>
    <row r="52" customFormat="false" ht="15.75" hidden="false" customHeight="true" outlineLevel="0" collapsed="false">
      <c r="A52" s="146" t="n">
        <v>46058.125</v>
      </c>
      <c r="B52" s="147" t="s">
        <v>577</v>
      </c>
      <c r="C52" s="77"/>
      <c r="D52" s="148" t="n">
        <v>0</v>
      </c>
      <c r="E52" s="148" t="n">
        <v>900</v>
      </c>
      <c r="F52" s="148" t="n">
        <v>0</v>
      </c>
      <c r="G52" s="148" t="n">
        <v>900</v>
      </c>
      <c r="H52" s="148" t="n">
        <v>0</v>
      </c>
      <c r="I52" s="148" t="n">
        <v>0</v>
      </c>
      <c r="J52" s="148" t="n">
        <v>0</v>
      </c>
      <c r="K52" s="148" t="n">
        <v>0</v>
      </c>
      <c r="L52" s="148" t="n">
        <v>0</v>
      </c>
      <c r="M52" s="148" t="n">
        <v>0</v>
      </c>
      <c r="N52" s="148" t="n">
        <v>0</v>
      </c>
      <c r="O52" s="148" t="n">
        <v>0</v>
      </c>
      <c r="P52" s="148" t="n">
        <v>0</v>
      </c>
      <c r="Q52" s="148" t="n">
        <v>0</v>
      </c>
      <c r="R52" s="148" t="n">
        <v>0</v>
      </c>
      <c r="S52" s="148" t="n">
        <v>0</v>
      </c>
      <c r="T52" s="148" t="n">
        <v>900</v>
      </c>
      <c r="U52" s="148" t="n">
        <v>0</v>
      </c>
      <c r="V52" s="148" t="n">
        <v>0</v>
      </c>
      <c r="W52" s="148" t="n">
        <v>0</v>
      </c>
      <c r="X52" s="148" t="n">
        <v>0</v>
      </c>
      <c r="Y52" s="72"/>
      <c r="Z52" s="148" t="n">
        <v>0</v>
      </c>
      <c r="AA52" s="148" t="n">
        <v>0</v>
      </c>
      <c r="AB52" s="148" t="n">
        <v>0</v>
      </c>
      <c r="AC52" s="148" t="n">
        <v>0</v>
      </c>
      <c r="AD52" s="148" t="n">
        <v>0</v>
      </c>
      <c r="AE52" s="148" t="n">
        <v>0</v>
      </c>
      <c r="AF52" s="148" t="n">
        <v>0</v>
      </c>
      <c r="AG52" s="81"/>
      <c r="AH52" s="71"/>
    </row>
    <row r="53" customFormat="false" ht="15.75" hidden="false" customHeight="true" outlineLevel="0" collapsed="false">
      <c r="A53" s="146" t="n">
        <v>46058.125</v>
      </c>
      <c r="B53" s="147" t="s">
        <v>578</v>
      </c>
      <c r="C53" s="147" t="s">
        <v>579</v>
      </c>
      <c r="D53" s="148" t="n">
        <v>500</v>
      </c>
      <c r="E53" s="148" t="n">
        <v>18149</v>
      </c>
      <c r="F53" s="148" t="n">
        <v>0</v>
      </c>
      <c r="G53" s="148" t="n">
        <v>0</v>
      </c>
      <c r="H53" s="148" t="n">
        <v>3249</v>
      </c>
      <c r="I53" s="148" t="n">
        <v>2400</v>
      </c>
      <c r="J53" s="148" t="n">
        <v>6000</v>
      </c>
      <c r="K53" s="148" t="n">
        <v>6000</v>
      </c>
      <c r="L53" s="148" t="n">
        <v>0</v>
      </c>
      <c r="M53" s="148" t="n">
        <v>0</v>
      </c>
      <c r="N53" s="148" t="n">
        <v>500</v>
      </c>
      <c r="O53" s="148" t="n">
        <v>0</v>
      </c>
      <c r="P53" s="148" t="n">
        <v>0</v>
      </c>
      <c r="Q53" s="148" t="n">
        <v>0</v>
      </c>
      <c r="R53" s="148" t="n">
        <v>5500</v>
      </c>
      <c r="S53" s="148" t="n">
        <v>0</v>
      </c>
      <c r="T53" s="148" t="n">
        <v>0</v>
      </c>
      <c r="U53" s="148" t="n">
        <v>0</v>
      </c>
      <c r="V53" s="148" t="n">
        <v>0</v>
      </c>
      <c r="W53" s="148" t="n">
        <v>0</v>
      </c>
      <c r="X53" s="148" t="n">
        <v>0</v>
      </c>
      <c r="Y53" s="72"/>
      <c r="Z53" s="148" t="n">
        <v>0</v>
      </c>
      <c r="AA53" s="148" t="n">
        <v>0</v>
      </c>
      <c r="AB53" s="148" t="n">
        <v>0</v>
      </c>
      <c r="AC53" s="148" t="n">
        <v>0</v>
      </c>
      <c r="AD53" s="148" t="n">
        <v>0</v>
      </c>
      <c r="AE53" s="148" t="n">
        <v>0</v>
      </c>
      <c r="AF53" s="148" t="n">
        <v>0</v>
      </c>
      <c r="AG53" s="81"/>
      <c r="AH53" s="71"/>
    </row>
    <row r="54" customFormat="false" ht="15.75" hidden="false" customHeight="true" outlineLevel="0" collapsed="false">
      <c r="A54" s="146" t="n">
        <v>46058.125</v>
      </c>
      <c r="B54" s="147" t="s">
        <v>51</v>
      </c>
      <c r="C54" s="77"/>
      <c r="D54" s="148" t="n">
        <v>0</v>
      </c>
      <c r="E54" s="148" t="n">
        <v>0</v>
      </c>
      <c r="F54" s="148" t="n">
        <v>0</v>
      </c>
      <c r="G54" s="148" t="n">
        <v>0</v>
      </c>
      <c r="H54" s="148" t="n">
        <v>0</v>
      </c>
      <c r="I54" s="148" t="n">
        <v>0</v>
      </c>
      <c r="J54" s="148" t="n">
        <v>0</v>
      </c>
      <c r="K54" s="148" t="n">
        <v>0</v>
      </c>
      <c r="L54" s="148" t="n">
        <v>0</v>
      </c>
      <c r="M54" s="148" t="n">
        <v>0</v>
      </c>
      <c r="N54" s="148" t="n">
        <v>0</v>
      </c>
      <c r="O54" s="148" t="n">
        <v>0</v>
      </c>
      <c r="P54" s="148" t="n">
        <v>0</v>
      </c>
      <c r="Q54" s="148" t="n">
        <v>0</v>
      </c>
      <c r="R54" s="148" t="n">
        <v>0</v>
      </c>
      <c r="S54" s="148" t="n">
        <v>0</v>
      </c>
      <c r="T54" s="148" t="n">
        <v>2800</v>
      </c>
      <c r="U54" s="148" t="n">
        <v>0</v>
      </c>
      <c r="V54" s="148" t="n">
        <v>0</v>
      </c>
      <c r="W54" s="148" t="n">
        <v>0</v>
      </c>
      <c r="X54" s="148" t="n">
        <v>0</v>
      </c>
      <c r="Y54" s="72"/>
      <c r="Z54" s="148" t="n">
        <v>0</v>
      </c>
      <c r="AA54" s="148" t="n">
        <v>0</v>
      </c>
      <c r="AB54" s="148" t="n">
        <v>0</v>
      </c>
      <c r="AC54" s="148" t="n">
        <v>0</v>
      </c>
      <c r="AD54" s="148" t="n">
        <v>0</v>
      </c>
      <c r="AE54" s="148" t="n">
        <v>0</v>
      </c>
      <c r="AF54" s="148" t="n">
        <v>0</v>
      </c>
      <c r="AG54" s="147" t="s">
        <v>580</v>
      </c>
      <c r="AH54" s="71"/>
    </row>
    <row r="55" customFormat="false" ht="15.75" hidden="false" customHeight="true" outlineLevel="0" collapsed="false">
      <c r="A55" s="146" t="n">
        <v>46058.125</v>
      </c>
      <c r="B55" s="147" t="s">
        <v>103</v>
      </c>
      <c r="C55" s="147" t="s">
        <v>581</v>
      </c>
      <c r="D55" s="148" t="n">
        <v>0</v>
      </c>
      <c r="E55" s="148" t="n">
        <v>0</v>
      </c>
      <c r="F55" s="148" t="n">
        <v>0</v>
      </c>
      <c r="G55" s="148" t="n">
        <v>0</v>
      </c>
      <c r="H55" s="148" t="n">
        <v>0</v>
      </c>
      <c r="I55" s="148" t="n">
        <v>0</v>
      </c>
      <c r="J55" s="148" t="n">
        <v>0</v>
      </c>
      <c r="K55" s="148" t="n">
        <v>0</v>
      </c>
      <c r="L55" s="148" t="n">
        <v>0</v>
      </c>
      <c r="M55" s="148" t="n">
        <v>0</v>
      </c>
      <c r="N55" s="148" t="n">
        <v>0</v>
      </c>
      <c r="O55" s="148" t="n">
        <v>0</v>
      </c>
      <c r="P55" s="148" t="n">
        <v>0</v>
      </c>
      <c r="Q55" s="148" t="n">
        <v>0</v>
      </c>
      <c r="R55" s="148" t="n">
        <v>2500</v>
      </c>
      <c r="S55" s="148" t="n">
        <v>0</v>
      </c>
      <c r="T55" s="148" t="n">
        <v>0</v>
      </c>
      <c r="U55" s="148" t="n">
        <v>0</v>
      </c>
      <c r="V55" s="148" t="n">
        <v>0</v>
      </c>
      <c r="W55" s="148" t="n">
        <v>0</v>
      </c>
      <c r="X55" s="148" t="n">
        <v>0</v>
      </c>
      <c r="Y55" s="72"/>
      <c r="Z55" s="148" t="n">
        <v>0</v>
      </c>
      <c r="AA55" s="148" t="n">
        <v>0</v>
      </c>
      <c r="AB55" s="148" t="n">
        <v>0</v>
      </c>
      <c r="AC55" s="148" t="n">
        <v>0</v>
      </c>
      <c r="AD55" s="148" t="n">
        <v>0</v>
      </c>
      <c r="AE55" s="148" t="n">
        <v>0</v>
      </c>
      <c r="AF55" s="148" t="n">
        <v>0</v>
      </c>
      <c r="AG55" s="147" t="s">
        <v>580</v>
      </c>
      <c r="AH55" s="71"/>
    </row>
    <row r="56" customFormat="false" ht="15.75" hidden="false" customHeight="true" outlineLevel="0" collapsed="false">
      <c r="A56" s="146" t="n">
        <v>46058.125</v>
      </c>
      <c r="B56" s="147" t="s">
        <v>582</v>
      </c>
      <c r="C56" s="77"/>
      <c r="D56" s="148" t="n">
        <v>0</v>
      </c>
      <c r="E56" s="148" t="n">
        <v>330</v>
      </c>
      <c r="F56" s="148" t="n">
        <v>0</v>
      </c>
      <c r="G56" s="148" t="n">
        <v>0</v>
      </c>
      <c r="H56" s="148" t="n">
        <v>0</v>
      </c>
      <c r="I56" s="148" t="n">
        <v>0</v>
      </c>
      <c r="J56" s="148" t="n">
        <v>0</v>
      </c>
      <c r="K56" s="148" t="n">
        <v>330</v>
      </c>
      <c r="L56" s="148" t="n">
        <v>0</v>
      </c>
      <c r="M56" s="148" t="n">
        <v>0</v>
      </c>
      <c r="N56" s="148" t="n">
        <v>0</v>
      </c>
      <c r="O56" s="148" t="n">
        <v>0</v>
      </c>
      <c r="P56" s="148" t="n">
        <v>0</v>
      </c>
      <c r="Q56" s="148" t="n">
        <v>0</v>
      </c>
      <c r="R56" s="148" t="n">
        <v>0</v>
      </c>
      <c r="S56" s="148" t="n">
        <v>0</v>
      </c>
      <c r="T56" s="148" t="n">
        <v>0</v>
      </c>
      <c r="U56" s="148" t="n">
        <v>0</v>
      </c>
      <c r="V56" s="148" t="n">
        <v>330</v>
      </c>
      <c r="W56" s="148" t="n">
        <v>0</v>
      </c>
      <c r="X56" s="148" t="n">
        <v>0</v>
      </c>
      <c r="Y56" s="72"/>
      <c r="Z56" s="148" t="n">
        <v>0</v>
      </c>
      <c r="AA56" s="148" t="n">
        <v>0</v>
      </c>
      <c r="AB56" s="148" t="n">
        <v>0</v>
      </c>
      <c r="AC56" s="148" t="n">
        <v>0</v>
      </c>
      <c r="AD56" s="148" t="n">
        <v>0</v>
      </c>
      <c r="AE56" s="148" t="n">
        <v>0</v>
      </c>
      <c r="AF56" s="148" t="n">
        <v>0</v>
      </c>
      <c r="AG56" s="81"/>
      <c r="AH56" s="71"/>
    </row>
    <row r="57" customFormat="false" ht="15.75" hidden="false" customHeight="true" outlineLevel="0" collapsed="false">
      <c r="A57" s="146" t="n">
        <v>46058.125</v>
      </c>
      <c r="B57" s="147" t="s">
        <v>58</v>
      </c>
      <c r="C57" s="77"/>
      <c r="D57" s="148" t="n">
        <v>0</v>
      </c>
      <c r="E57" s="148" t="n">
        <v>0</v>
      </c>
      <c r="F57" s="148" t="n">
        <v>0</v>
      </c>
      <c r="G57" s="148" t="n">
        <v>0</v>
      </c>
      <c r="H57" s="148" t="n">
        <v>0</v>
      </c>
      <c r="I57" s="148" t="n">
        <v>0</v>
      </c>
      <c r="J57" s="148" t="n">
        <v>0</v>
      </c>
      <c r="K57" s="148" t="n">
        <v>0</v>
      </c>
      <c r="L57" s="148" t="n">
        <v>0</v>
      </c>
      <c r="M57" s="148" t="n">
        <v>0</v>
      </c>
      <c r="N57" s="148" t="n">
        <v>0</v>
      </c>
      <c r="O57" s="148" t="n">
        <v>0</v>
      </c>
      <c r="P57" s="148" t="n">
        <v>0</v>
      </c>
      <c r="Q57" s="148" t="n">
        <v>0</v>
      </c>
      <c r="R57" s="148" t="n">
        <v>0</v>
      </c>
      <c r="S57" s="148" t="n">
        <v>0</v>
      </c>
      <c r="T57" s="148" t="n">
        <v>0</v>
      </c>
      <c r="U57" s="148" t="n">
        <v>0</v>
      </c>
      <c r="V57" s="148" t="n">
        <v>0</v>
      </c>
      <c r="W57" s="148" t="n">
        <v>0</v>
      </c>
      <c r="X57" s="148" t="n">
        <v>1000</v>
      </c>
      <c r="Y57" s="72"/>
      <c r="Z57" s="148" t="n">
        <v>0</v>
      </c>
      <c r="AA57" s="148" t="n">
        <v>0</v>
      </c>
      <c r="AB57" s="148" t="n">
        <v>0</v>
      </c>
      <c r="AC57" s="148" t="n">
        <v>0</v>
      </c>
      <c r="AD57" s="148" t="n">
        <v>0</v>
      </c>
      <c r="AE57" s="148" t="n">
        <v>0</v>
      </c>
      <c r="AF57" s="148" t="n">
        <v>0</v>
      </c>
      <c r="AG57" s="147" t="s">
        <v>580</v>
      </c>
      <c r="AH57" s="71"/>
    </row>
    <row r="58" customFormat="false" ht="15.75" hidden="false" customHeight="true" outlineLevel="0" collapsed="false">
      <c r="A58" s="146" t="n">
        <v>46058.125</v>
      </c>
      <c r="B58" s="147" t="s">
        <v>52</v>
      </c>
      <c r="C58" s="77"/>
      <c r="D58" s="148" t="n">
        <v>0</v>
      </c>
      <c r="E58" s="148" t="n">
        <v>0</v>
      </c>
      <c r="F58" s="148" t="n">
        <v>0</v>
      </c>
      <c r="G58" s="148" t="n">
        <v>0</v>
      </c>
      <c r="H58" s="148" t="n">
        <v>0</v>
      </c>
      <c r="I58" s="148" t="n">
        <v>0</v>
      </c>
      <c r="J58" s="148" t="n">
        <v>0</v>
      </c>
      <c r="K58" s="148" t="n">
        <v>0</v>
      </c>
      <c r="L58" s="148" t="n">
        <v>0</v>
      </c>
      <c r="M58" s="148" t="n">
        <v>0</v>
      </c>
      <c r="N58" s="148" t="n">
        <v>0</v>
      </c>
      <c r="O58" s="148" t="n">
        <v>0</v>
      </c>
      <c r="P58" s="148" t="n">
        <v>0</v>
      </c>
      <c r="Q58" s="148" t="n">
        <v>0</v>
      </c>
      <c r="R58" s="148" t="n">
        <v>0</v>
      </c>
      <c r="S58" s="148" t="n">
        <v>0</v>
      </c>
      <c r="T58" s="148" t="n">
        <v>0</v>
      </c>
      <c r="U58" s="148" t="n">
        <v>0</v>
      </c>
      <c r="V58" s="148" t="n">
        <v>0</v>
      </c>
      <c r="W58" s="148" t="n">
        <v>0</v>
      </c>
      <c r="X58" s="148" t="n">
        <v>835</v>
      </c>
      <c r="Y58" s="72"/>
      <c r="Z58" s="148" t="n">
        <v>0</v>
      </c>
      <c r="AA58" s="148" t="n">
        <v>0</v>
      </c>
      <c r="AB58" s="148" t="n">
        <v>0</v>
      </c>
      <c r="AC58" s="148" t="n">
        <v>0</v>
      </c>
      <c r="AD58" s="148" t="n">
        <v>0</v>
      </c>
      <c r="AE58" s="148" t="n">
        <v>0</v>
      </c>
      <c r="AF58" s="148" t="n">
        <v>0</v>
      </c>
      <c r="AG58" s="147" t="s">
        <v>580</v>
      </c>
      <c r="AH58" s="71"/>
    </row>
    <row r="59" customFormat="false" ht="15.75" hidden="false" customHeight="true" outlineLevel="0" collapsed="false">
      <c r="A59" s="76"/>
      <c r="B59" s="76"/>
      <c r="C59" s="77"/>
      <c r="D59" s="78"/>
      <c r="E59" s="79"/>
      <c r="F59" s="63"/>
      <c r="G59" s="78"/>
      <c r="H59" s="78"/>
      <c r="I59" s="78"/>
      <c r="J59" s="78"/>
      <c r="K59" s="78"/>
      <c r="L59" s="78"/>
      <c r="M59" s="78"/>
      <c r="N59" s="78"/>
      <c r="O59" s="78"/>
      <c r="P59" s="80" t="n">
        <v>0</v>
      </c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4"/>
      <c r="AF59" s="75"/>
      <c r="AG59" s="81"/>
      <c r="AH59" s="71"/>
    </row>
    <row r="60" customFormat="false" ht="15.75" hidden="false" customHeight="true" outlineLevel="0" collapsed="false">
      <c r="A60" s="76"/>
      <c r="B60" s="76"/>
      <c r="C60" s="77"/>
      <c r="D60" s="78"/>
      <c r="E60" s="79"/>
      <c r="F60" s="63"/>
      <c r="G60" s="78"/>
      <c r="H60" s="78"/>
      <c r="I60" s="78"/>
      <c r="J60" s="78"/>
      <c r="K60" s="78"/>
      <c r="L60" s="78"/>
      <c r="M60" s="78"/>
      <c r="N60" s="78"/>
      <c r="O60" s="78"/>
      <c r="P60" s="80" t="n">
        <v>0</v>
      </c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4"/>
      <c r="AF60" s="75"/>
      <c r="AG60" s="81"/>
      <c r="AH60" s="71"/>
    </row>
    <row r="61" customFormat="false" ht="15" hidden="false" customHeight="true" outlineLevel="0" collapsed="false">
      <c r="A61" s="76"/>
      <c r="B61" s="76"/>
      <c r="C61" s="77"/>
      <c r="D61" s="78"/>
      <c r="E61" s="79"/>
      <c r="F61" s="63"/>
      <c r="G61" s="78"/>
      <c r="H61" s="78"/>
      <c r="I61" s="78"/>
      <c r="J61" s="78"/>
      <c r="K61" s="78"/>
      <c r="L61" s="78"/>
      <c r="M61" s="78"/>
      <c r="N61" s="78"/>
      <c r="O61" s="78"/>
      <c r="P61" s="80" t="n">
        <v>0</v>
      </c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4"/>
      <c r="AF61" s="75"/>
      <c r="AG61" s="81"/>
      <c r="AH61" s="71"/>
    </row>
    <row r="62" customFormat="false" ht="15" hidden="false" customHeight="true" outlineLevel="0" collapsed="false">
      <c r="A62" s="76"/>
      <c r="B62" s="76"/>
      <c r="C62" s="77"/>
      <c r="D62" s="78"/>
      <c r="E62" s="79"/>
      <c r="F62" s="63"/>
      <c r="G62" s="78"/>
      <c r="H62" s="78"/>
      <c r="I62" s="78"/>
      <c r="J62" s="78"/>
      <c r="K62" s="78"/>
      <c r="L62" s="78"/>
      <c r="M62" s="78"/>
      <c r="N62" s="78"/>
      <c r="O62" s="78"/>
      <c r="P62" s="80" t="n">
        <v>0</v>
      </c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4"/>
      <c r="AF62" s="75"/>
      <c r="AG62" s="81"/>
      <c r="AH62" s="71"/>
    </row>
    <row r="63" customFormat="false" ht="15" hidden="false" customHeight="true" outlineLevel="0" collapsed="false">
      <c r="A63" s="76"/>
      <c r="B63" s="76"/>
      <c r="C63" s="77"/>
      <c r="D63" s="78"/>
      <c r="E63" s="79"/>
      <c r="F63" s="63"/>
      <c r="G63" s="78"/>
      <c r="H63" s="78"/>
      <c r="I63" s="78"/>
      <c r="J63" s="78"/>
      <c r="K63" s="78"/>
      <c r="L63" s="78"/>
      <c r="M63" s="78"/>
      <c r="N63" s="78"/>
      <c r="O63" s="78"/>
      <c r="P63" s="80" t="n">
        <v>0</v>
      </c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4"/>
      <c r="AF63" s="75"/>
      <c r="AG63" s="81"/>
      <c r="AH63" s="71"/>
    </row>
    <row r="64" customFormat="false" ht="15" hidden="false" customHeight="true" outlineLevel="0" collapsed="false">
      <c r="A64" s="76"/>
      <c r="B64" s="76"/>
      <c r="C64" s="77"/>
      <c r="D64" s="78"/>
      <c r="E64" s="79"/>
      <c r="F64" s="63"/>
      <c r="G64" s="78"/>
      <c r="H64" s="78"/>
      <c r="I64" s="78"/>
      <c r="J64" s="78"/>
      <c r="K64" s="78"/>
      <c r="L64" s="78"/>
      <c r="M64" s="78"/>
      <c r="N64" s="78"/>
      <c r="O64" s="78"/>
      <c r="P64" s="80" t="n">
        <v>0</v>
      </c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4"/>
      <c r="AF64" s="75"/>
      <c r="AG64" s="81"/>
      <c r="AH64" s="71"/>
    </row>
    <row r="65" customFormat="false" ht="15" hidden="false" customHeight="true" outlineLevel="0" collapsed="false">
      <c r="A65" s="76"/>
      <c r="B65" s="76"/>
      <c r="C65" s="77"/>
      <c r="D65" s="78"/>
      <c r="E65" s="79"/>
      <c r="F65" s="63"/>
      <c r="G65" s="78"/>
      <c r="H65" s="78"/>
      <c r="I65" s="78"/>
      <c r="J65" s="78"/>
      <c r="K65" s="78"/>
      <c r="L65" s="78"/>
      <c r="M65" s="78"/>
      <c r="N65" s="78"/>
      <c r="O65" s="78"/>
      <c r="P65" s="80" t="n">
        <v>0</v>
      </c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4"/>
      <c r="AF65" s="75"/>
      <c r="AG65" s="81"/>
      <c r="AH65" s="71"/>
    </row>
    <row r="66" customFormat="false" ht="15" hidden="false" customHeight="true" outlineLevel="0" collapsed="false">
      <c r="A66" s="76"/>
      <c r="B66" s="76"/>
      <c r="C66" s="77"/>
      <c r="D66" s="78"/>
      <c r="E66" s="79"/>
      <c r="F66" s="63"/>
      <c r="G66" s="78"/>
      <c r="H66" s="78"/>
      <c r="I66" s="78"/>
      <c r="J66" s="78"/>
      <c r="K66" s="78"/>
      <c r="L66" s="78"/>
      <c r="M66" s="78"/>
      <c r="N66" s="78"/>
      <c r="O66" s="78"/>
      <c r="P66" s="80" t="n">
        <v>0</v>
      </c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4"/>
      <c r="AF66" s="75"/>
      <c r="AG66" s="81"/>
      <c r="AH66" s="71"/>
    </row>
    <row r="67" customFormat="false" ht="15" hidden="false" customHeight="true" outlineLevel="0" collapsed="false">
      <c r="A67" s="76"/>
      <c r="B67" s="76"/>
      <c r="C67" s="77"/>
      <c r="D67" s="78"/>
      <c r="E67" s="79"/>
      <c r="F67" s="63"/>
      <c r="G67" s="78"/>
      <c r="H67" s="78"/>
      <c r="I67" s="78"/>
      <c r="J67" s="78"/>
      <c r="K67" s="78"/>
      <c r="L67" s="78"/>
      <c r="M67" s="78"/>
      <c r="N67" s="78"/>
      <c r="O67" s="78"/>
      <c r="P67" s="80" t="n">
        <v>0</v>
      </c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4"/>
      <c r="AF67" s="75"/>
      <c r="AG67" s="81"/>
      <c r="AH67" s="71"/>
    </row>
    <row r="68" customFormat="false" ht="15" hidden="false" customHeight="true" outlineLevel="0" collapsed="false">
      <c r="A68" s="76"/>
      <c r="B68" s="76"/>
      <c r="C68" s="77"/>
      <c r="D68" s="78"/>
      <c r="E68" s="79"/>
      <c r="F68" s="63"/>
      <c r="G68" s="78"/>
      <c r="H68" s="78"/>
      <c r="I68" s="78"/>
      <c r="J68" s="78"/>
      <c r="K68" s="78"/>
      <c r="L68" s="78"/>
      <c r="M68" s="78"/>
      <c r="N68" s="78"/>
      <c r="O68" s="78"/>
      <c r="P68" s="80" t="n">
        <v>0</v>
      </c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4"/>
      <c r="AF68" s="75"/>
      <c r="AG68" s="81"/>
    </row>
    <row r="69" customFormat="false" ht="15" hidden="false" customHeight="true" outlineLevel="0" collapsed="false">
      <c r="A69" s="76"/>
      <c r="B69" s="76"/>
      <c r="C69" s="77"/>
      <c r="D69" s="78"/>
      <c r="E69" s="79"/>
      <c r="F69" s="63"/>
      <c r="G69" s="78"/>
      <c r="H69" s="78"/>
      <c r="I69" s="78"/>
      <c r="J69" s="78"/>
      <c r="K69" s="78"/>
      <c r="L69" s="78"/>
      <c r="M69" s="78"/>
      <c r="N69" s="78"/>
      <c r="O69" s="78"/>
      <c r="P69" s="80" t="n">
        <v>0</v>
      </c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4"/>
      <c r="AF69" s="75"/>
      <c r="AG69" s="81"/>
    </row>
    <row r="70" customFormat="false" ht="15" hidden="false" customHeight="true" outlineLevel="0" collapsed="false">
      <c r="A70" s="76"/>
      <c r="B70" s="76"/>
      <c r="C70" s="77"/>
      <c r="D70" s="78"/>
      <c r="E70" s="79"/>
      <c r="F70" s="63"/>
      <c r="G70" s="78"/>
      <c r="H70" s="78"/>
      <c r="I70" s="78"/>
      <c r="J70" s="78"/>
      <c r="K70" s="78"/>
      <c r="L70" s="78"/>
      <c r="M70" s="78"/>
      <c r="N70" s="78"/>
      <c r="O70" s="78"/>
      <c r="P70" s="80" t="n">
        <v>0</v>
      </c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4"/>
      <c r="AF70" s="75"/>
      <c r="AG70" s="81"/>
      <c r="AH70" s="71"/>
    </row>
    <row r="71" customFormat="false" ht="15" hidden="false" customHeight="true" outlineLevel="0" collapsed="false">
      <c r="A71" s="76"/>
      <c r="B71" s="76"/>
      <c r="C71" s="77"/>
      <c r="D71" s="78"/>
      <c r="E71" s="79"/>
      <c r="F71" s="63"/>
      <c r="G71" s="78"/>
      <c r="H71" s="78"/>
      <c r="I71" s="78"/>
      <c r="J71" s="78"/>
      <c r="K71" s="78"/>
      <c r="L71" s="78"/>
      <c r="M71" s="78"/>
      <c r="N71" s="78"/>
      <c r="O71" s="78"/>
      <c r="P71" s="80" t="n">
        <v>0</v>
      </c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4"/>
      <c r="AF71" s="75"/>
      <c r="AG71" s="81"/>
      <c r="AH71" s="71"/>
    </row>
    <row r="72" customFormat="false" ht="15" hidden="false" customHeight="true" outlineLevel="0" collapsed="false">
      <c r="A72" s="76"/>
      <c r="B72" s="76"/>
      <c r="C72" s="77"/>
      <c r="D72" s="78"/>
      <c r="E72" s="79"/>
      <c r="F72" s="63"/>
      <c r="G72" s="78"/>
      <c r="H72" s="78"/>
      <c r="I72" s="78"/>
      <c r="J72" s="78"/>
      <c r="K72" s="78"/>
      <c r="L72" s="78"/>
      <c r="M72" s="78"/>
      <c r="N72" s="78"/>
      <c r="O72" s="78"/>
      <c r="P72" s="80" t="n">
        <v>0</v>
      </c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4"/>
      <c r="AF72" s="75"/>
      <c r="AG72" s="81"/>
      <c r="AH72" s="71"/>
    </row>
    <row r="73" customFormat="false" ht="15" hidden="false" customHeight="true" outlineLevel="0" collapsed="false">
      <c r="A73" s="76"/>
      <c r="B73" s="76"/>
      <c r="C73" s="77"/>
      <c r="D73" s="78"/>
      <c r="E73" s="79"/>
      <c r="F73" s="63"/>
      <c r="G73" s="78"/>
      <c r="H73" s="78"/>
      <c r="I73" s="78"/>
      <c r="J73" s="78"/>
      <c r="K73" s="78"/>
      <c r="L73" s="78"/>
      <c r="M73" s="78"/>
      <c r="N73" s="78"/>
      <c r="O73" s="78"/>
      <c r="P73" s="80" t="n">
        <v>0</v>
      </c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4"/>
      <c r="AF73" s="75"/>
      <c r="AG73" s="81"/>
      <c r="AH73" s="71"/>
    </row>
    <row r="74" customFormat="false" ht="15" hidden="false" customHeight="true" outlineLevel="0" collapsed="false">
      <c r="A74" s="76"/>
      <c r="B74" s="76"/>
      <c r="C74" s="77"/>
      <c r="D74" s="78"/>
      <c r="E74" s="79"/>
      <c r="F74" s="63"/>
      <c r="G74" s="78"/>
      <c r="H74" s="78"/>
      <c r="I74" s="78"/>
      <c r="J74" s="78"/>
      <c r="K74" s="78"/>
      <c r="L74" s="78"/>
      <c r="M74" s="78"/>
      <c r="N74" s="78"/>
      <c r="O74" s="78"/>
      <c r="P74" s="80" t="n">
        <v>0</v>
      </c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4"/>
      <c r="AF74" s="75"/>
      <c r="AG74" s="81"/>
      <c r="AH74" s="71"/>
    </row>
    <row r="75" customFormat="false" ht="15" hidden="false" customHeight="true" outlineLevel="0" collapsed="false">
      <c r="A75" s="76"/>
      <c r="B75" s="76"/>
      <c r="C75" s="77"/>
      <c r="D75" s="78"/>
      <c r="E75" s="79"/>
      <c r="F75" s="63"/>
      <c r="G75" s="78"/>
      <c r="H75" s="78"/>
      <c r="I75" s="78"/>
      <c r="J75" s="78"/>
      <c r="K75" s="78"/>
      <c r="L75" s="78"/>
      <c r="M75" s="78"/>
      <c r="N75" s="78"/>
      <c r="O75" s="78"/>
      <c r="P75" s="80" t="n">
        <v>0</v>
      </c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4"/>
      <c r="AF75" s="75"/>
      <c r="AG75" s="81"/>
      <c r="AH75" s="71"/>
    </row>
    <row r="76" customFormat="false" ht="15" hidden="false" customHeight="true" outlineLevel="0" collapsed="false">
      <c r="A76" s="76"/>
      <c r="B76" s="76"/>
      <c r="C76" s="77"/>
      <c r="D76" s="78"/>
      <c r="E76" s="79"/>
      <c r="F76" s="63"/>
      <c r="G76" s="78"/>
      <c r="H76" s="78"/>
      <c r="I76" s="78"/>
      <c r="J76" s="78"/>
      <c r="K76" s="78"/>
      <c r="L76" s="78"/>
      <c r="M76" s="78"/>
      <c r="N76" s="78"/>
      <c r="O76" s="78"/>
      <c r="P76" s="80" t="n">
        <v>0</v>
      </c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4"/>
      <c r="AF76" s="75"/>
      <c r="AG76" s="81"/>
      <c r="AH76" s="71"/>
    </row>
    <row r="77" customFormat="false" ht="15" hidden="false" customHeight="true" outlineLevel="0" collapsed="false">
      <c r="A77" s="76"/>
      <c r="B77" s="76"/>
      <c r="C77" s="77"/>
      <c r="D77" s="78"/>
      <c r="E77" s="79"/>
      <c r="F77" s="63"/>
      <c r="G77" s="78"/>
      <c r="H77" s="78"/>
      <c r="I77" s="78"/>
      <c r="J77" s="78"/>
      <c r="K77" s="78"/>
      <c r="L77" s="78"/>
      <c r="M77" s="78"/>
      <c r="N77" s="78"/>
      <c r="O77" s="78"/>
      <c r="P77" s="80" t="n">
        <v>0</v>
      </c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4"/>
      <c r="AF77" s="75"/>
      <c r="AG77" s="81"/>
      <c r="AH77" s="71"/>
    </row>
    <row r="78" customFormat="false" ht="15" hidden="false" customHeight="true" outlineLevel="0" collapsed="false">
      <c r="A78" s="76"/>
      <c r="B78" s="76"/>
      <c r="C78" s="77"/>
      <c r="D78" s="78"/>
      <c r="E78" s="79"/>
      <c r="F78" s="63"/>
      <c r="G78" s="78"/>
      <c r="H78" s="78"/>
      <c r="I78" s="78"/>
      <c r="J78" s="78"/>
      <c r="K78" s="78"/>
      <c r="L78" s="78"/>
      <c r="M78" s="78"/>
      <c r="N78" s="78"/>
      <c r="O78" s="78"/>
      <c r="P78" s="80" t="n">
        <v>0</v>
      </c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4"/>
      <c r="AF78" s="75"/>
      <c r="AG78" s="81"/>
      <c r="AH78" s="71"/>
    </row>
    <row r="79" customFormat="false" ht="15" hidden="false" customHeight="true" outlineLevel="0" collapsed="false">
      <c r="A79" s="76"/>
      <c r="B79" s="76"/>
      <c r="C79" s="77"/>
      <c r="D79" s="78"/>
      <c r="E79" s="79"/>
      <c r="F79" s="63"/>
      <c r="G79" s="78"/>
      <c r="H79" s="78"/>
      <c r="I79" s="78"/>
      <c r="J79" s="78"/>
      <c r="K79" s="78"/>
      <c r="L79" s="78"/>
      <c r="M79" s="78"/>
      <c r="N79" s="78"/>
      <c r="O79" s="78"/>
      <c r="P79" s="80" t="n">
        <v>0</v>
      </c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4"/>
      <c r="AF79" s="75"/>
      <c r="AG79" s="81"/>
      <c r="AH79" s="71"/>
    </row>
    <row r="80" customFormat="false" ht="15" hidden="false" customHeight="true" outlineLevel="0" collapsed="false">
      <c r="A80" s="76"/>
      <c r="B80" s="76"/>
      <c r="C80" s="77"/>
      <c r="D80" s="78"/>
      <c r="E80" s="79"/>
      <c r="F80" s="63"/>
      <c r="G80" s="78"/>
      <c r="H80" s="78"/>
      <c r="I80" s="78"/>
      <c r="J80" s="78"/>
      <c r="K80" s="78"/>
      <c r="L80" s="78"/>
      <c r="M80" s="78"/>
      <c r="N80" s="78"/>
      <c r="O80" s="78"/>
      <c r="P80" s="80" t="n">
        <v>0</v>
      </c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4"/>
      <c r="AF80" s="75"/>
      <c r="AG80" s="81"/>
      <c r="AH80" s="71"/>
    </row>
    <row r="81" customFormat="false" ht="15" hidden="false" customHeight="true" outlineLevel="0" collapsed="false">
      <c r="A81" s="76"/>
      <c r="B81" s="76"/>
      <c r="C81" s="77"/>
      <c r="D81" s="78"/>
      <c r="E81" s="79"/>
      <c r="F81" s="63"/>
      <c r="G81" s="78"/>
      <c r="H81" s="78"/>
      <c r="I81" s="78"/>
      <c r="J81" s="78"/>
      <c r="K81" s="78"/>
      <c r="L81" s="78"/>
      <c r="M81" s="78"/>
      <c r="N81" s="78"/>
      <c r="O81" s="78"/>
      <c r="P81" s="80" t="n">
        <v>0</v>
      </c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4"/>
      <c r="AF81" s="75"/>
      <c r="AG81" s="81"/>
      <c r="AH81" s="71"/>
    </row>
    <row r="82" customFormat="false" ht="15" hidden="false" customHeight="true" outlineLevel="0" collapsed="false">
      <c r="A82" s="76"/>
      <c r="B82" s="76"/>
      <c r="C82" s="77"/>
      <c r="D82" s="78"/>
      <c r="E82" s="79"/>
      <c r="F82" s="63"/>
      <c r="G82" s="78"/>
      <c r="H82" s="78"/>
      <c r="I82" s="78"/>
      <c r="J82" s="78"/>
      <c r="K82" s="78"/>
      <c r="L82" s="78"/>
      <c r="M82" s="78"/>
      <c r="N82" s="78"/>
      <c r="O82" s="78"/>
      <c r="P82" s="80" t="n">
        <v>0</v>
      </c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4"/>
      <c r="AF82" s="75"/>
      <c r="AG82" s="81"/>
      <c r="AH82" s="71"/>
    </row>
    <row r="83" customFormat="false" ht="15" hidden="false" customHeight="true" outlineLevel="0" collapsed="false">
      <c r="A83" s="76"/>
      <c r="B83" s="76"/>
      <c r="C83" s="77"/>
      <c r="D83" s="78"/>
      <c r="E83" s="79"/>
      <c r="F83" s="63"/>
      <c r="G83" s="78"/>
      <c r="H83" s="78"/>
      <c r="I83" s="78"/>
      <c r="J83" s="78"/>
      <c r="K83" s="78"/>
      <c r="L83" s="78"/>
      <c r="M83" s="78"/>
      <c r="N83" s="78"/>
      <c r="O83" s="78"/>
      <c r="P83" s="80" t="n">
        <v>0</v>
      </c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4"/>
      <c r="AF83" s="75"/>
      <c r="AG83" s="81"/>
      <c r="AH83" s="71"/>
    </row>
    <row r="84" customFormat="false" ht="15" hidden="false" customHeight="true" outlineLevel="0" collapsed="false">
      <c r="A84" s="76"/>
      <c r="B84" s="76"/>
      <c r="C84" s="77"/>
      <c r="D84" s="78"/>
      <c r="E84" s="79"/>
      <c r="F84" s="63"/>
      <c r="G84" s="78"/>
      <c r="H84" s="78"/>
      <c r="I84" s="78"/>
      <c r="J84" s="78"/>
      <c r="K84" s="78"/>
      <c r="L84" s="78"/>
      <c r="M84" s="78"/>
      <c r="N84" s="78"/>
      <c r="O84" s="78"/>
      <c r="P84" s="80" t="n">
        <v>0</v>
      </c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4"/>
      <c r="AF84" s="75"/>
      <c r="AG84" s="81"/>
      <c r="AH84" s="71"/>
    </row>
    <row r="85" customFormat="false" ht="15" hidden="false" customHeight="true" outlineLevel="0" collapsed="false">
      <c r="A85" s="76"/>
      <c r="B85" s="76"/>
      <c r="C85" s="77"/>
      <c r="D85" s="78"/>
      <c r="E85" s="79"/>
      <c r="F85" s="63"/>
      <c r="G85" s="78"/>
      <c r="H85" s="78"/>
      <c r="I85" s="78"/>
      <c r="J85" s="78"/>
      <c r="K85" s="78"/>
      <c r="L85" s="78"/>
      <c r="M85" s="78"/>
      <c r="N85" s="78"/>
      <c r="O85" s="78"/>
      <c r="P85" s="80" t="n">
        <v>0</v>
      </c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4"/>
      <c r="AF85" s="75"/>
      <c r="AG85" s="81"/>
      <c r="AH85" s="71"/>
    </row>
    <row r="86" customFormat="false" ht="15" hidden="false" customHeight="true" outlineLevel="0" collapsed="false">
      <c r="A86" s="76"/>
      <c r="B86" s="76"/>
      <c r="C86" s="77"/>
      <c r="D86" s="78"/>
      <c r="E86" s="79"/>
      <c r="F86" s="63"/>
      <c r="G86" s="78"/>
      <c r="H86" s="78"/>
      <c r="I86" s="78"/>
      <c r="J86" s="78"/>
      <c r="K86" s="78"/>
      <c r="L86" s="78"/>
      <c r="M86" s="78"/>
      <c r="N86" s="78"/>
      <c r="O86" s="78"/>
      <c r="P86" s="80" t="n">
        <v>0</v>
      </c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4"/>
      <c r="AF86" s="75"/>
      <c r="AG86" s="81"/>
      <c r="AH86" s="71"/>
    </row>
    <row r="87" customFormat="false" ht="15" hidden="false" customHeight="true" outlineLevel="0" collapsed="false">
      <c r="A87" s="76"/>
      <c r="B87" s="76"/>
      <c r="C87" s="77"/>
      <c r="D87" s="78"/>
      <c r="E87" s="79"/>
      <c r="F87" s="63"/>
      <c r="G87" s="78"/>
      <c r="H87" s="78"/>
      <c r="I87" s="78"/>
      <c r="J87" s="78"/>
      <c r="K87" s="78"/>
      <c r="L87" s="78"/>
      <c r="M87" s="78"/>
      <c r="N87" s="78"/>
      <c r="O87" s="78"/>
      <c r="P87" s="80" t="n">
        <v>0</v>
      </c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4"/>
      <c r="AF87" s="75"/>
      <c r="AG87" s="81"/>
      <c r="AH87" s="71"/>
    </row>
    <row r="88" customFormat="false" ht="15" hidden="false" customHeight="true" outlineLevel="0" collapsed="false">
      <c r="A88" s="76"/>
      <c r="B88" s="76"/>
      <c r="C88" s="77"/>
      <c r="D88" s="78"/>
      <c r="E88" s="79"/>
      <c r="F88" s="63"/>
      <c r="G88" s="78"/>
      <c r="H88" s="78"/>
      <c r="I88" s="78"/>
      <c r="J88" s="78"/>
      <c r="K88" s="78"/>
      <c r="L88" s="78"/>
      <c r="M88" s="78"/>
      <c r="N88" s="78"/>
      <c r="O88" s="78"/>
      <c r="P88" s="80" t="n">
        <v>0</v>
      </c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4"/>
      <c r="AF88" s="75"/>
      <c r="AG88" s="81"/>
      <c r="AH88" s="71"/>
    </row>
    <row r="89" customFormat="false" ht="15.75" hidden="false" customHeight="true" outlineLevel="0" collapsed="false">
      <c r="A89" s="76"/>
      <c r="B89" s="76"/>
      <c r="C89" s="77"/>
      <c r="D89" s="78"/>
      <c r="E89" s="79"/>
      <c r="F89" s="63"/>
      <c r="G89" s="78"/>
      <c r="H89" s="78"/>
      <c r="I89" s="78"/>
      <c r="J89" s="78"/>
      <c r="K89" s="78"/>
      <c r="L89" s="78"/>
      <c r="M89" s="78"/>
      <c r="N89" s="78"/>
      <c r="O89" s="78"/>
      <c r="P89" s="80" t="n">
        <v>0</v>
      </c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4"/>
      <c r="AF89" s="75"/>
      <c r="AG89" s="81"/>
      <c r="AH89" s="71"/>
    </row>
    <row r="90" customFormat="false" ht="15.75" hidden="false" customHeight="true" outlineLevel="0" collapsed="false">
      <c r="A90" s="76"/>
      <c r="B90" s="76"/>
      <c r="C90" s="77"/>
      <c r="D90" s="78"/>
      <c r="E90" s="79"/>
      <c r="F90" s="63"/>
      <c r="G90" s="78"/>
      <c r="H90" s="78"/>
      <c r="I90" s="78"/>
      <c r="J90" s="78"/>
      <c r="K90" s="78"/>
      <c r="L90" s="78"/>
      <c r="M90" s="78"/>
      <c r="N90" s="78"/>
      <c r="O90" s="78"/>
      <c r="P90" s="80" t="n">
        <v>0</v>
      </c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4"/>
      <c r="AF90" s="75"/>
      <c r="AG90" s="81"/>
      <c r="AH90" s="71"/>
    </row>
    <row r="91" customFormat="false" ht="15.75" hidden="false" customHeight="true" outlineLevel="0" collapsed="false">
      <c r="A91" s="76"/>
      <c r="B91" s="76"/>
      <c r="C91" s="77"/>
      <c r="D91" s="78"/>
      <c r="E91" s="79"/>
      <c r="F91" s="63"/>
      <c r="G91" s="78"/>
      <c r="H91" s="78"/>
      <c r="I91" s="78"/>
      <c r="J91" s="78"/>
      <c r="K91" s="78"/>
      <c r="L91" s="78"/>
      <c r="M91" s="78"/>
      <c r="N91" s="78"/>
      <c r="O91" s="78"/>
      <c r="P91" s="80" t="n">
        <v>0</v>
      </c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4"/>
      <c r="AF91" s="75"/>
      <c r="AG91" s="81"/>
      <c r="AH91" s="71"/>
    </row>
    <row r="92" customFormat="false" ht="15.75" hidden="false" customHeight="true" outlineLevel="0" collapsed="false">
      <c r="A92" s="76"/>
      <c r="B92" s="76"/>
      <c r="C92" s="77"/>
      <c r="D92" s="78"/>
      <c r="E92" s="79"/>
      <c r="F92" s="63"/>
      <c r="G92" s="78"/>
      <c r="H92" s="78"/>
      <c r="I92" s="78"/>
      <c r="J92" s="78"/>
      <c r="K92" s="78"/>
      <c r="L92" s="78"/>
      <c r="M92" s="78"/>
      <c r="N92" s="78"/>
      <c r="O92" s="78"/>
      <c r="P92" s="80" t="n">
        <v>0</v>
      </c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4"/>
      <c r="AF92" s="75"/>
      <c r="AG92" s="81"/>
      <c r="AH92" s="71"/>
    </row>
    <row r="93" customFormat="false" ht="15.75" hidden="false" customHeight="true" outlineLevel="0" collapsed="false">
      <c r="A93" s="76"/>
      <c r="B93" s="76"/>
      <c r="C93" s="77"/>
      <c r="D93" s="78"/>
      <c r="E93" s="79"/>
      <c r="F93" s="63"/>
      <c r="G93" s="78"/>
      <c r="H93" s="78"/>
      <c r="I93" s="78"/>
      <c r="J93" s="78"/>
      <c r="K93" s="78"/>
      <c r="L93" s="78"/>
      <c r="M93" s="78"/>
      <c r="N93" s="78"/>
      <c r="O93" s="78"/>
      <c r="P93" s="80" t="n">
        <v>0</v>
      </c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4"/>
      <c r="AF93" s="75"/>
      <c r="AG93" s="81"/>
      <c r="AH93" s="71"/>
    </row>
    <row r="94" customFormat="false" ht="15.75" hidden="false" customHeight="true" outlineLevel="0" collapsed="false">
      <c r="A94" s="76"/>
      <c r="B94" s="76"/>
      <c r="C94" s="77"/>
      <c r="D94" s="78"/>
      <c r="E94" s="79"/>
      <c r="F94" s="63"/>
      <c r="G94" s="78"/>
      <c r="H94" s="78"/>
      <c r="I94" s="78"/>
      <c r="J94" s="78"/>
      <c r="K94" s="78"/>
      <c r="L94" s="78"/>
      <c r="M94" s="78"/>
      <c r="N94" s="78"/>
      <c r="O94" s="78"/>
      <c r="P94" s="80" t="n">
        <v>0</v>
      </c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4"/>
      <c r="AF94" s="75"/>
      <c r="AG94" s="81"/>
      <c r="AH94" s="71"/>
    </row>
    <row r="95" customFormat="false" ht="15.75" hidden="false" customHeight="true" outlineLevel="0" collapsed="false">
      <c r="A95" s="76"/>
      <c r="B95" s="76"/>
      <c r="C95" s="77"/>
      <c r="D95" s="78"/>
      <c r="E95" s="79"/>
      <c r="F95" s="63"/>
      <c r="G95" s="78"/>
      <c r="H95" s="78"/>
      <c r="I95" s="78"/>
      <c r="J95" s="78"/>
      <c r="K95" s="78"/>
      <c r="L95" s="78"/>
      <c r="M95" s="78"/>
      <c r="N95" s="78"/>
      <c r="O95" s="78"/>
      <c r="P95" s="80" t="n">
        <v>0</v>
      </c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4"/>
      <c r="AF95" s="75"/>
      <c r="AG95" s="81"/>
      <c r="AH95" s="71"/>
    </row>
    <row r="96" customFormat="false" ht="15.75" hidden="false" customHeight="true" outlineLevel="0" collapsed="false">
      <c r="A96" s="76"/>
      <c r="B96" s="76"/>
      <c r="C96" s="77"/>
      <c r="D96" s="78"/>
      <c r="E96" s="79"/>
      <c r="F96" s="63"/>
      <c r="G96" s="78"/>
      <c r="H96" s="78"/>
      <c r="I96" s="78"/>
      <c r="J96" s="78"/>
      <c r="K96" s="78"/>
      <c r="L96" s="78"/>
      <c r="M96" s="78"/>
      <c r="N96" s="78"/>
      <c r="O96" s="78"/>
      <c r="P96" s="80" t="n">
        <v>0</v>
      </c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4"/>
      <c r="AF96" s="75"/>
      <c r="AG96" s="81"/>
      <c r="AH96" s="71"/>
    </row>
    <row r="97" customFormat="false" ht="15.75" hidden="false" customHeight="true" outlineLevel="0" collapsed="false">
      <c r="A97" s="76"/>
      <c r="B97" s="76"/>
      <c r="C97" s="77"/>
      <c r="D97" s="78"/>
      <c r="E97" s="79"/>
      <c r="F97" s="63"/>
      <c r="G97" s="78"/>
      <c r="H97" s="78"/>
      <c r="I97" s="78"/>
      <c r="J97" s="78"/>
      <c r="K97" s="78"/>
      <c r="L97" s="78"/>
      <c r="M97" s="78"/>
      <c r="N97" s="78"/>
      <c r="O97" s="78"/>
      <c r="P97" s="80" t="n">
        <v>0</v>
      </c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4"/>
      <c r="AF97" s="75"/>
      <c r="AG97" s="81"/>
      <c r="AH97" s="71"/>
    </row>
    <row r="98" customFormat="false" ht="15.75" hidden="false" customHeight="true" outlineLevel="0" collapsed="false">
      <c r="A98" s="76"/>
      <c r="B98" s="76"/>
      <c r="C98" s="77"/>
      <c r="D98" s="78"/>
      <c r="E98" s="79"/>
      <c r="F98" s="63"/>
      <c r="G98" s="78"/>
      <c r="H98" s="78"/>
      <c r="I98" s="78"/>
      <c r="J98" s="78"/>
      <c r="K98" s="78"/>
      <c r="L98" s="78"/>
      <c r="M98" s="78"/>
      <c r="N98" s="78"/>
      <c r="O98" s="78"/>
      <c r="P98" s="80" t="n">
        <v>0</v>
      </c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4"/>
      <c r="AF98" s="75"/>
      <c r="AG98" s="81"/>
      <c r="AH98" s="71"/>
    </row>
    <row r="99" customFormat="false" ht="15.75" hidden="false" customHeight="true" outlineLevel="0" collapsed="false">
      <c r="A99" s="76"/>
      <c r="B99" s="76"/>
      <c r="C99" s="77"/>
      <c r="D99" s="78"/>
      <c r="E99" s="79"/>
      <c r="F99" s="63"/>
      <c r="G99" s="78"/>
      <c r="H99" s="78"/>
      <c r="I99" s="78"/>
      <c r="J99" s="78"/>
      <c r="K99" s="78"/>
      <c r="L99" s="78"/>
      <c r="M99" s="78"/>
      <c r="N99" s="78"/>
      <c r="O99" s="78"/>
      <c r="P99" s="80" t="n">
        <v>0</v>
      </c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4"/>
      <c r="AF99" s="75"/>
      <c r="AG99" s="81"/>
      <c r="AH99" s="71"/>
    </row>
    <row r="100" customFormat="false" ht="15.75" hidden="false" customHeight="true" outlineLevel="0" collapsed="false">
      <c r="A100" s="76"/>
      <c r="B100" s="76"/>
      <c r="C100" s="77"/>
      <c r="D100" s="78"/>
      <c r="E100" s="79"/>
      <c r="F100" s="63"/>
      <c r="G100" s="78"/>
      <c r="H100" s="78"/>
      <c r="I100" s="78"/>
      <c r="J100" s="78"/>
      <c r="K100" s="78"/>
      <c r="L100" s="78"/>
      <c r="M100" s="78"/>
      <c r="N100" s="78"/>
      <c r="O100" s="78"/>
      <c r="P100" s="80" t="n">
        <v>0</v>
      </c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4"/>
      <c r="AF100" s="75"/>
      <c r="AG100" s="81"/>
      <c r="AH100" s="71"/>
    </row>
    <row r="101" customFormat="false" ht="15.75" hidden="false" customHeight="true" outlineLevel="0" collapsed="false">
      <c r="A101" s="76"/>
      <c r="B101" s="76"/>
      <c r="C101" s="77"/>
      <c r="D101" s="78"/>
      <c r="E101" s="79"/>
      <c r="F101" s="63"/>
      <c r="G101" s="78"/>
      <c r="H101" s="78"/>
      <c r="I101" s="78"/>
      <c r="J101" s="78"/>
      <c r="K101" s="78"/>
      <c r="L101" s="78"/>
      <c r="M101" s="78"/>
      <c r="N101" s="78"/>
      <c r="O101" s="78"/>
      <c r="P101" s="80" t="n">
        <v>0</v>
      </c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4"/>
      <c r="AF101" s="75"/>
      <c r="AG101" s="81"/>
      <c r="AH101" s="71"/>
    </row>
    <row r="102" customFormat="false" ht="15.75" hidden="false" customHeight="true" outlineLevel="0" collapsed="false">
      <c r="A102" s="76"/>
      <c r="B102" s="76"/>
      <c r="C102" s="77"/>
      <c r="D102" s="78"/>
      <c r="E102" s="79"/>
      <c r="F102" s="63"/>
      <c r="G102" s="78"/>
      <c r="H102" s="78"/>
      <c r="I102" s="78"/>
      <c r="J102" s="78"/>
      <c r="K102" s="78"/>
      <c r="L102" s="78"/>
      <c r="M102" s="78"/>
      <c r="N102" s="78"/>
      <c r="O102" s="78"/>
      <c r="P102" s="80" t="n">
        <v>0</v>
      </c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4"/>
      <c r="AF102" s="75"/>
      <c r="AG102" s="81"/>
      <c r="AH102" s="71"/>
    </row>
    <row r="103" customFormat="false" ht="15.75" hidden="false" customHeight="true" outlineLevel="0" collapsed="false">
      <c r="A103" s="76"/>
      <c r="B103" s="76"/>
      <c r="C103" s="77"/>
      <c r="D103" s="78"/>
      <c r="E103" s="79"/>
      <c r="F103" s="63"/>
      <c r="G103" s="78"/>
      <c r="H103" s="78"/>
      <c r="I103" s="78"/>
      <c r="J103" s="78"/>
      <c r="K103" s="78"/>
      <c r="L103" s="78"/>
      <c r="M103" s="78"/>
      <c r="N103" s="78"/>
      <c r="O103" s="78"/>
      <c r="P103" s="80" t="n">
        <v>0</v>
      </c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4"/>
      <c r="AF103" s="75"/>
      <c r="AG103" s="81"/>
      <c r="AH103" s="71"/>
    </row>
    <row r="104" customFormat="false" ht="15.75" hidden="false" customHeight="true" outlineLevel="0" collapsed="false">
      <c r="A104" s="76"/>
      <c r="B104" s="76"/>
      <c r="C104" s="77"/>
      <c r="D104" s="78"/>
      <c r="E104" s="79"/>
      <c r="F104" s="63"/>
      <c r="G104" s="78"/>
      <c r="H104" s="78"/>
      <c r="I104" s="78"/>
      <c r="J104" s="78"/>
      <c r="K104" s="78"/>
      <c r="L104" s="78"/>
      <c r="M104" s="78"/>
      <c r="N104" s="78"/>
      <c r="O104" s="78"/>
      <c r="P104" s="80" t="n">
        <v>0</v>
      </c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4"/>
      <c r="AF104" s="75"/>
      <c r="AG104" s="81"/>
      <c r="AH104" s="71"/>
    </row>
    <row r="105" customFormat="false" ht="15.75" hidden="false" customHeight="true" outlineLevel="0" collapsed="false">
      <c r="A105" s="76"/>
      <c r="B105" s="76"/>
      <c r="C105" s="77"/>
      <c r="D105" s="78"/>
      <c r="E105" s="79"/>
      <c r="F105" s="63"/>
      <c r="G105" s="78"/>
      <c r="H105" s="78"/>
      <c r="I105" s="78"/>
      <c r="J105" s="78"/>
      <c r="K105" s="78"/>
      <c r="L105" s="78"/>
      <c r="M105" s="78"/>
      <c r="N105" s="78"/>
      <c r="O105" s="78"/>
      <c r="P105" s="80" t="n">
        <v>0</v>
      </c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4"/>
      <c r="AF105" s="75"/>
      <c r="AG105" s="81"/>
      <c r="AH105" s="71"/>
    </row>
    <row r="106" customFormat="false" ht="15.75" hidden="false" customHeight="true" outlineLevel="0" collapsed="false">
      <c r="A106" s="76"/>
      <c r="B106" s="76"/>
      <c r="C106" s="77"/>
      <c r="D106" s="78"/>
      <c r="E106" s="79"/>
      <c r="F106" s="63"/>
      <c r="G106" s="78"/>
      <c r="H106" s="78"/>
      <c r="I106" s="78"/>
      <c r="J106" s="78"/>
      <c r="K106" s="78"/>
      <c r="L106" s="78"/>
      <c r="M106" s="78"/>
      <c r="N106" s="78"/>
      <c r="O106" s="78"/>
      <c r="P106" s="80" t="n">
        <v>0</v>
      </c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4"/>
      <c r="AF106" s="75"/>
      <c r="AG106" s="81"/>
      <c r="AH106" s="71"/>
    </row>
    <row r="107" customFormat="false" ht="15.75" hidden="false" customHeight="true" outlineLevel="0" collapsed="false">
      <c r="A107" s="76"/>
      <c r="B107" s="76"/>
      <c r="C107" s="77"/>
      <c r="D107" s="78"/>
      <c r="E107" s="79"/>
      <c r="F107" s="63"/>
      <c r="G107" s="78"/>
      <c r="H107" s="78"/>
      <c r="I107" s="78"/>
      <c r="J107" s="78"/>
      <c r="K107" s="78"/>
      <c r="L107" s="78"/>
      <c r="M107" s="78"/>
      <c r="N107" s="78"/>
      <c r="O107" s="78"/>
      <c r="P107" s="80" t="n">
        <v>0</v>
      </c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4"/>
      <c r="AF107" s="75"/>
      <c r="AG107" s="81"/>
      <c r="AH107" s="71"/>
    </row>
    <row r="108" customFormat="false" ht="15.75" hidden="false" customHeight="true" outlineLevel="0" collapsed="false">
      <c r="A108" s="76"/>
      <c r="B108" s="76"/>
      <c r="C108" s="77"/>
      <c r="D108" s="78"/>
      <c r="E108" s="79"/>
      <c r="F108" s="63"/>
      <c r="G108" s="78"/>
      <c r="H108" s="78"/>
      <c r="I108" s="78"/>
      <c r="J108" s="78"/>
      <c r="K108" s="78"/>
      <c r="L108" s="78"/>
      <c r="M108" s="78"/>
      <c r="N108" s="78"/>
      <c r="O108" s="78"/>
      <c r="P108" s="80" t="n">
        <v>0</v>
      </c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4"/>
      <c r="AF108" s="75"/>
      <c r="AG108" s="81"/>
      <c r="AH108" s="71"/>
    </row>
    <row r="109" customFormat="false" ht="15.75" hidden="false" customHeight="true" outlineLevel="0" collapsed="false">
      <c r="A109" s="76"/>
      <c r="B109" s="76"/>
      <c r="C109" s="77"/>
      <c r="D109" s="78"/>
      <c r="E109" s="79"/>
      <c r="F109" s="63"/>
      <c r="G109" s="78"/>
      <c r="H109" s="78"/>
      <c r="I109" s="78"/>
      <c r="J109" s="78"/>
      <c r="K109" s="78"/>
      <c r="L109" s="78"/>
      <c r="M109" s="78"/>
      <c r="N109" s="78"/>
      <c r="O109" s="78"/>
      <c r="P109" s="80" t="n">
        <v>0</v>
      </c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4"/>
      <c r="AF109" s="75"/>
      <c r="AG109" s="81"/>
      <c r="AH109" s="71"/>
    </row>
    <row r="110" customFormat="false" ht="15.75" hidden="false" customHeight="true" outlineLevel="0" collapsed="false">
      <c r="A110" s="76"/>
      <c r="B110" s="76"/>
      <c r="C110" s="77"/>
      <c r="D110" s="78"/>
      <c r="E110" s="79"/>
      <c r="F110" s="63"/>
      <c r="G110" s="78"/>
      <c r="H110" s="78"/>
      <c r="I110" s="78"/>
      <c r="J110" s="78"/>
      <c r="K110" s="78"/>
      <c r="L110" s="78"/>
      <c r="M110" s="78"/>
      <c r="N110" s="78"/>
      <c r="O110" s="78"/>
      <c r="P110" s="80" t="n">
        <v>0</v>
      </c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4"/>
      <c r="AF110" s="75"/>
      <c r="AG110" s="81"/>
      <c r="AH110" s="71"/>
    </row>
    <row r="111" customFormat="false" ht="15.75" hidden="false" customHeight="true" outlineLevel="0" collapsed="false">
      <c r="A111" s="76"/>
      <c r="B111" s="76"/>
      <c r="C111" s="77"/>
      <c r="D111" s="78"/>
      <c r="E111" s="79"/>
      <c r="F111" s="63"/>
      <c r="G111" s="78"/>
      <c r="H111" s="78"/>
      <c r="I111" s="78"/>
      <c r="J111" s="78"/>
      <c r="K111" s="78"/>
      <c r="L111" s="78"/>
      <c r="M111" s="78"/>
      <c r="N111" s="78"/>
      <c r="O111" s="78"/>
      <c r="P111" s="80" t="n">
        <v>0</v>
      </c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4"/>
      <c r="AF111" s="75"/>
      <c r="AG111" s="81"/>
      <c r="AH111" s="71"/>
      <c r="AI111" s="0" t="n">
        <v>0</v>
      </c>
    </row>
    <row r="112" customFormat="false" ht="15.75" hidden="false" customHeight="true" outlineLevel="0" collapsed="false">
      <c r="A112" s="76"/>
      <c r="B112" s="76"/>
      <c r="C112" s="77"/>
      <c r="D112" s="78"/>
      <c r="E112" s="79"/>
      <c r="F112" s="63"/>
      <c r="G112" s="78"/>
      <c r="H112" s="78"/>
      <c r="I112" s="78"/>
      <c r="J112" s="78"/>
      <c r="K112" s="78"/>
      <c r="L112" s="78"/>
      <c r="M112" s="78"/>
      <c r="N112" s="78"/>
      <c r="O112" s="78"/>
      <c r="P112" s="80" t="n">
        <v>0</v>
      </c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4"/>
      <c r="AF112" s="75"/>
      <c r="AG112" s="81"/>
      <c r="AH112" s="71"/>
    </row>
    <row r="113" customFormat="false" ht="15.75" hidden="false" customHeight="true" outlineLevel="0" collapsed="false">
      <c r="A113" s="76"/>
      <c r="B113" s="76"/>
      <c r="C113" s="77"/>
      <c r="D113" s="78"/>
      <c r="E113" s="79"/>
      <c r="F113" s="63"/>
      <c r="G113" s="78"/>
      <c r="H113" s="78"/>
      <c r="I113" s="78"/>
      <c r="J113" s="78"/>
      <c r="K113" s="78"/>
      <c r="L113" s="78"/>
      <c r="M113" s="78"/>
      <c r="N113" s="78"/>
      <c r="O113" s="78"/>
      <c r="P113" s="80" t="n">
        <v>0</v>
      </c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4"/>
      <c r="AF113" s="75"/>
      <c r="AG113" s="81"/>
      <c r="AH113" s="71"/>
    </row>
    <row r="114" customFormat="false" ht="15.75" hidden="false" customHeight="true" outlineLevel="0" collapsed="false">
      <c r="A114" s="76"/>
      <c r="B114" s="76"/>
      <c r="C114" s="77"/>
      <c r="D114" s="78"/>
      <c r="E114" s="79"/>
      <c r="F114" s="63"/>
      <c r="G114" s="78"/>
      <c r="H114" s="78"/>
      <c r="I114" s="78"/>
      <c r="J114" s="78"/>
      <c r="K114" s="78"/>
      <c r="L114" s="78"/>
      <c r="M114" s="78"/>
      <c r="N114" s="78"/>
      <c r="O114" s="78"/>
      <c r="P114" s="80" t="n">
        <v>0</v>
      </c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4"/>
      <c r="AF114" s="75"/>
      <c r="AG114" s="81"/>
      <c r="AH114" s="71"/>
    </row>
    <row r="115" customFormat="false" ht="15.75" hidden="false" customHeight="true" outlineLevel="0" collapsed="false">
      <c r="A115" s="76"/>
      <c r="B115" s="76"/>
      <c r="C115" s="77"/>
      <c r="D115" s="78"/>
      <c r="E115" s="79"/>
      <c r="F115" s="63"/>
      <c r="G115" s="78"/>
      <c r="H115" s="78"/>
      <c r="I115" s="78"/>
      <c r="J115" s="78"/>
      <c r="K115" s="78"/>
      <c r="L115" s="78"/>
      <c r="M115" s="78"/>
      <c r="N115" s="78"/>
      <c r="O115" s="78"/>
      <c r="P115" s="80" t="n">
        <v>0</v>
      </c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4"/>
      <c r="AF115" s="75"/>
      <c r="AG115" s="81"/>
      <c r="AH115" s="71"/>
    </row>
    <row r="116" customFormat="false" ht="15.75" hidden="false" customHeight="true" outlineLevel="0" collapsed="false">
      <c r="A116" s="76"/>
      <c r="B116" s="76"/>
      <c r="C116" s="77"/>
      <c r="D116" s="78"/>
      <c r="E116" s="79"/>
      <c r="F116" s="63"/>
      <c r="G116" s="78"/>
      <c r="H116" s="78"/>
      <c r="I116" s="78"/>
      <c r="J116" s="78"/>
      <c r="K116" s="78"/>
      <c r="L116" s="78"/>
      <c r="M116" s="78"/>
      <c r="N116" s="78"/>
      <c r="O116" s="78"/>
      <c r="P116" s="80" t="n">
        <v>0</v>
      </c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4"/>
      <c r="AF116" s="75"/>
      <c r="AG116" s="81"/>
      <c r="AH116" s="71"/>
    </row>
    <row r="117" customFormat="false" ht="15.75" hidden="false" customHeight="true" outlineLevel="0" collapsed="false">
      <c r="A117" s="76"/>
      <c r="B117" s="76"/>
      <c r="C117" s="77"/>
      <c r="D117" s="78"/>
      <c r="E117" s="79"/>
      <c r="F117" s="63"/>
      <c r="G117" s="78"/>
      <c r="H117" s="78"/>
      <c r="I117" s="78"/>
      <c r="J117" s="78"/>
      <c r="K117" s="78"/>
      <c r="L117" s="78"/>
      <c r="M117" s="78"/>
      <c r="N117" s="78"/>
      <c r="O117" s="78"/>
      <c r="P117" s="80" t="n">
        <v>0</v>
      </c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4"/>
      <c r="AF117" s="75"/>
      <c r="AG117" s="81"/>
      <c r="AH117" s="71"/>
    </row>
    <row r="118" customFormat="false" ht="15.75" hidden="false" customHeight="true" outlineLevel="0" collapsed="false">
      <c r="A118" s="76"/>
      <c r="B118" s="76"/>
      <c r="C118" s="77"/>
      <c r="D118" s="78"/>
      <c r="E118" s="79"/>
      <c r="F118" s="63"/>
      <c r="G118" s="78"/>
      <c r="H118" s="78"/>
      <c r="I118" s="78"/>
      <c r="J118" s="78"/>
      <c r="K118" s="78"/>
      <c r="L118" s="78"/>
      <c r="M118" s="78"/>
      <c r="N118" s="78"/>
      <c r="O118" s="78"/>
      <c r="P118" s="80" t="n">
        <v>0</v>
      </c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4"/>
      <c r="AF118" s="75"/>
      <c r="AG118" s="81"/>
      <c r="AH118" s="71"/>
    </row>
    <row r="119" customFormat="false" ht="15.75" hidden="false" customHeight="true" outlineLevel="0" collapsed="false">
      <c r="A119" s="76"/>
      <c r="B119" s="76"/>
      <c r="C119" s="77"/>
      <c r="D119" s="78"/>
      <c r="E119" s="79"/>
      <c r="F119" s="63"/>
      <c r="G119" s="78"/>
      <c r="H119" s="78"/>
      <c r="I119" s="78"/>
      <c r="J119" s="78"/>
      <c r="K119" s="78"/>
      <c r="L119" s="78"/>
      <c r="M119" s="78"/>
      <c r="N119" s="78"/>
      <c r="O119" s="78"/>
      <c r="P119" s="80" t="n">
        <v>0</v>
      </c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4"/>
      <c r="AF119" s="75"/>
      <c r="AG119" s="81"/>
      <c r="AH119" s="71"/>
    </row>
    <row r="120" customFormat="false" ht="15.75" hidden="false" customHeight="true" outlineLevel="0" collapsed="false">
      <c r="A120" s="76"/>
      <c r="B120" s="76"/>
      <c r="C120" s="77"/>
      <c r="D120" s="78"/>
      <c r="E120" s="79"/>
      <c r="F120" s="63"/>
      <c r="G120" s="78"/>
      <c r="H120" s="78"/>
      <c r="I120" s="78"/>
      <c r="J120" s="78"/>
      <c r="K120" s="78"/>
      <c r="L120" s="78"/>
      <c r="M120" s="78"/>
      <c r="N120" s="78"/>
      <c r="O120" s="78"/>
      <c r="P120" s="80" t="n">
        <v>0</v>
      </c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4"/>
      <c r="AF120" s="75"/>
      <c r="AG120" s="81"/>
      <c r="AH120" s="71"/>
    </row>
    <row r="121" customFormat="false" ht="15.75" hidden="false" customHeight="true" outlineLevel="0" collapsed="false">
      <c r="A121" s="76"/>
      <c r="B121" s="76"/>
      <c r="C121" s="77"/>
      <c r="D121" s="78"/>
      <c r="E121" s="79"/>
      <c r="F121" s="63"/>
      <c r="G121" s="78"/>
      <c r="H121" s="78"/>
      <c r="I121" s="78"/>
      <c r="J121" s="78"/>
      <c r="K121" s="78"/>
      <c r="L121" s="78"/>
      <c r="M121" s="78"/>
      <c r="N121" s="78"/>
      <c r="O121" s="78"/>
      <c r="P121" s="80" t="n">
        <v>0</v>
      </c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4"/>
      <c r="AF121" s="75"/>
      <c r="AG121" s="81"/>
      <c r="AH121" s="71"/>
    </row>
    <row r="122" customFormat="false" ht="15.75" hidden="false" customHeight="true" outlineLevel="0" collapsed="false">
      <c r="A122" s="76"/>
      <c r="B122" s="76"/>
      <c r="C122" s="77"/>
      <c r="D122" s="78"/>
      <c r="E122" s="79"/>
      <c r="F122" s="63"/>
      <c r="G122" s="78"/>
      <c r="H122" s="78"/>
      <c r="I122" s="78"/>
      <c r="J122" s="78"/>
      <c r="K122" s="78"/>
      <c r="L122" s="78"/>
      <c r="M122" s="78"/>
      <c r="N122" s="78"/>
      <c r="O122" s="78"/>
      <c r="P122" s="80" t="n">
        <v>0</v>
      </c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4"/>
      <c r="AF122" s="75"/>
      <c r="AG122" s="81"/>
      <c r="AH122" s="71"/>
    </row>
    <row r="123" customFormat="false" ht="15.75" hidden="false" customHeight="true" outlineLevel="0" collapsed="false">
      <c r="A123" s="76"/>
      <c r="B123" s="76"/>
      <c r="C123" s="77"/>
      <c r="D123" s="78"/>
      <c r="E123" s="79"/>
      <c r="F123" s="63"/>
      <c r="G123" s="78"/>
      <c r="H123" s="78"/>
      <c r="I123" s="78"/>
      <c r="J123" s="78"/>
      <c r="K123" s="78"/>
      <c r="L123" s="78"/>
      <c r="M123" s="78"/>
      <c r="N123" s="78"/>
      <c r="O123" s="78"/>
      <c r="P123" s="80" t="n">
        <v>0</v>
      </c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4"/>
      <c r="AF123" s="75"/>
      <c r="AG123" s="81"/>
      <c r="AH123" s="71"/>
    </row>
    <row r="124" customFormat="false" ht="15.75" hidden="false" customHeight="true" outlineLevel="0" collapsed="false">
      <c r="A124" s="76"/>
      <c r="B124" s="76"/>
      <c r="C124" s="77"/>
      <c r="D124" s="78"/>
      <c r="E124" s="79"/>
      <c r="F124" s="63"/>
      <c r="G124" s="78"/>
      <c r="H124" s="78"/>
      <c r="I124" s="78"/>
      <c r="J124" s="78"/>
      <c r="K124" s="78"/>
      <c r="L124" s="78"/>
      <c r="M124" s="78"/>
      <c r="N124" s="78"/>
      <c r="O124" s="78"/>
      <c r="P124" s="80" t="n">
        <v>0</v>
      </c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4"/>
      <c r="AF124" s="75"/>
      <c r="AG124" s="81"/>
      <c r="AH124" s="71"/>
    </row>
    <row r="125" customFormat="false" ht="15.75" hidden="false" customHeight="true" outlineLevel="0" collapsed="false">
      <c r="A125" s="76"/>
      <c r="B125" s="76"/>
      <c r="C125" s="77"/>
      <c r="D125" s="78"/>
      <c r="E125" s="79"/>
      <c r="F125" s="63"/>
      <c r="G125" s="78"/>
      <c r="H125" s="78"/>
      <c r="I125" s="78"/>
      <c r="J125" s="78"/>
      <c r="K125" s="78"/>
      <c r="L125" s="78"/>
      <c r="M125" s="78"/>
      <c r="N125" s="78"/>
      <c r="O125" s="78"/>
      <c r="P125" s="80" t="n">
        <v>0</v>
      </c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4"/>
      <c r="AF125" s="75"/>
      <c r="AG125" s="81"/>
      <c r="AH125" s="71"/>
    </row>
    <row r="126" customFormat="false" ht="15.75" hidden="false" customHeight="true" outlineLevel="0" collapsed="false">
      <c r="A126" s="76"/>
      <c r="B126" s="76"/>
      <c r="C126" s="77"/>
      <c r="D126" s="78"/>
      <c r="E126" s="79"/>
      <c r="F126" s="63"/>
      <c r="G126" s="78"/>
      <c r="H126" s="78"/>
      <c r="I126" s="78"/>
      <c r="J126" s="78"/>
      <c r="K126" s="78"/>
      <c r="L126" s="78"/>
      <c r="M126" s="78"/>
      <c r="N126" s="78"/>
      <c r="O126" s="78"/>
      <c r="P126" s="80" t="n">
        <v>0</v>
      </c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4"/>
      <c r="AF126" s="75"/>
      <c r="AG126" s="81"/>
      <c r="AH126" s="71"/>
    </row>
    <row r="127" customFormat="false" ht="15.75" hidden="false" customHeight="true" outlineLevel="0" collapsed="false">
      <c r="A127" s="76"/>
      <c r="B127" s="76"/>
      <c r="C127" s="77"/>
      <c r="D127" s="78"/>
      <c r="E127" s="79"/>
      <c r="F127" s="63"/>
      <c r="G127" s="78"/>
      <c r="H127" s="78"/>
      <c r="I127" s="78"/>
      <c r="J127" s="78"/>
      <c r="K127" s="78"/>
      <c r="L127" s="78"/>
      <c r="M127" s="78"/>
      <c r="N127" s="78"/>
      <c r="O127" s="78"/>
      <c r="P127" s="80" t="n">
        <v>0</v>
      </c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4"/>
      <c r="AF127" s="75"/>
      <c r="AG127" s="81"/>
      <c r="AH127" s="71"/>
    </row>
    <row r="128" customFormat="false" ht="15.75" hidden="false" customHeight="true" outlineLevel="0" collapsed="false">
      <c r="A128" s="76"/>
      <c r="B128" s="76"/>
      <c r="C128" s="77"/>
      <c r="D128" s="78"/>
      <c r="E128" s="79"/>
      <c r="F128" s="63"/>
      <c r="G128" s="78"/>
      <c r="H128" s="78"/>
      <c r="I128" s="78"/>
      <c r="J128" s="78"/>
      <c r="K128" s="78"/>
      <c r="L128" s="78"/>
      <c r="M128" s="78"/>
      <c r="N128" s="78"/>
      <c r="O128" s="78"/>
      <c r="P128" s="80" t="n">
        <v>0</v>
      </c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4"/>
      <c r="AF128" s="75"/>
      <c r="AG128" s="81"/>
      <c r="AH128" s="71"/>
    </row>
    <row r="129" customFormat="false" ht="15.75" hidden="false" customHeight="true" outlineLevel="0" collapsed="false">
      <c r="A129" s="76"/>
      <c r="B129" s="76"/>
      <c r="C129" s="77"/>
      <c r="D129" s="78"/>
      <c r="E129" s="79"/>
      <c r="F129" s="63"/>
      <c r="G129" s="78"/>
      <c r="H129" s="78"/>
      <c r="I129" s="78"/>
      <c r="J129" s="78"/>
      <c r="K129" s="78"/>
      <c r="L129" s="78"/>
      <c r="M129" s="78"/>
      <c r="N129" s="78"/>
      <c r="O129" s="78"/>
      <c r="P129" s="80" t="n">
        <v>0</v>
      </c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4"/>
      <c r="AF129" s="75"/>
      <c r="AG129" s="81"/>
      <c r="AH129" s="71"/>
    </row>
    <row r="130" customFormat="false" ht="15.75" hidden="false" customHeight="true" outlineLevel="0" collapsed="false">
      <c r="A130" s="76"/>
      <c r="B130" s="76"/>
      <c r="C130" s="77"/>
      <c r="D130" s="78"/>
      <c r="E130" s="79"/>
      <c r="F130" s="63"/>
      <c r="G130" s="78"/>
      <c r="H130" s="78"/>
      <c r="I130" s="78"/>
      <c r="J130" s="78"/>
      <c r="K130" s="78"/>
      <c r="L130" s="78"/>
      <c r="M130" s="78"/>
      <c r="N130" s="78"/>
      <c r="O130" s="78"/>
      <c r="P130" s="80" t="n">
        <v>0</v>
      </c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4"/>
      <c r="AF130" s="75"/>
      <c r="AG130" s="81"/>
      <c r="AH130" s="71"/>
    </row>
    <row r="131" customFormat="false" ht="15.75" hidden="false" customHeight="true" outlineLevel="0" collapsed="false">
      <c r="A131" s="76"/>
      <c r="B131" s="76"/>
      <c r="C131" s="77"/>
      <c r="D131" s="78"/>
      <c r="E131" s="79"/>
      <c r="F131" s="63"/>
      <c r="G131" s="78"/>
      <c r="H131" s="78"/>
      <c r="I131" s="78"/>
      <c r="J131" s="78"/>
      <c r="K131" s="78"/>
      <c r="L131" s="78"/>
      <c r="M131" s="78"/>
      <c r="N131" s="78"/>
      <c r="O131" s="78"/>
      <c r="P131" s="80" t="n">
        <v>0</v>
      </c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4"/>
      <c r="AF131" s="75"/>
      <c r="AG131" s="81"/>
      <c r="AH131" s="71"/>
    </row>
    <row r="132" customFormat="false" ht="15.75" hidden="false" customHeight="true" outlineLevel="0" collapsed="false">
      <c r="A132" s="76"/>
      <c r="B132" s="76"/>
      <c r="C132" s="77"/>
      <c r="D132" s="78"/>
      <c r="E132" s="79"/>
      <c r="F132" s="63"/>
      <c r="G132" s="78"/>
      <c r="H132" s="78"/>
      <c r="I132" s="78"/>
      <c r="J132" s="78"/>
      <c r="K132" s="78"/>
      <c r="L132" s="78"/>
      <c r="M132" s="78"/>
      <c r="N132" s="78"/>
      <c r="O132" s="78"/>
      <c r="P132" s="80" t="n">
        <v>0</v>
      </c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4"/>
      <c r="AF132" s="75"/>
      <c r="AG132" s="81"/>
      <c r="AH132" s="71"/>
    </row>
    <row r="133" customFormat="false" ht="15.75" hidden="false" customHeight="true" outlineLevel="0" collapsed="false">
      <c r="A133" s="76"/>
      <c r="B133" s="76"/>
      <c r="C133" s="77"/>
      <c r="D133" s="78"/>
      <c r="E133" s="79"/>
      <c r="F133" s="63"/>
      <c r="G133" s="78"/>
      <c r="H133" s="78"/>
      <c r="I133" s="78"/>
      <c r="J133" s="78"/>
      <c r="K133" s="78"/>
      <c r="L133" s="78"/>
      <c r="M133" s="78"/>
      <c r="N133" s="78"/>
      <c r="O133" s="78"/>
      <c r="P133" s="80" t="n">
        <v>0</v>
      </c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4"/>
      <c r="AF133" s="75"/>
      <c r="AG133" s="81"/>
      <c r="AH133" s="71"/>
    </row>
    <row r="134" customFormat="false" ht="15.75" hidden="false" customHeight="true" outlineLevel="0" collapsed="false">
      <c r="A134" s="76"/>
      <c r="B134" s="76"/>
      <c r="C134" s="77"/>
      <c r="D134" s="78"/>
      <c r="E134" s="79"/>
      <c r="F134" s="63"/>
      <c r="G134" s="78"/>
      <c r="H134" s="78"/>
      <c r="I134" s="78"/>
      <c r="J134" s="78"/>
      <c r="K134" s="78"/>
      <c r="L134" s="78"/>
      <c r="M134" s="78"/>
      <c r="N134" s="78"/>
      <c r="O134" s="78"/>
      <c r="P134" s="80" t="n">
        <v>0</v>
      </c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4"/>
      <c r="AF134" s="75"/>
      <c r="AG134" s="81"/>
      <c r="AH134" s="71"/>
    </row>
    <row r="135" customFormat="false" ht="15.75" hidden="false" customHeight="true" outlineLevel="0" collapsed="false">
      <c r="A135" s="76"/>
      <c r="B135" s="76"/>
      <c r="C135" s="77"/>
      <c r="D135" s="78"/>
      <c r="E135" s="79"/>
      <c r="F135" s="63"/>
      <c r="G135" s="78"/>
      <c r="H135" s="78"/>
      <c r="I135" s="78"/>
      <c r="J135" s="78"/>
      <c r="K135" s="78"/>
      <c r="L135" s="78"/>
      <c r="M135" s="78"/>
      <c r="N135" s="78"/>
      <c r="O135" s="78"/>
      <c r="P135" s="80" t="n">
        <v>0</v>
      </c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4"/>
      <c r="AF135" s="75"/>
      <c r="AG135" s="81"/>
      <c r="AH135" s="71"/>
    </row>
    <row r="136" customFormat="false" ht="15.75" hidden="false" customHeight="true" outlineLevel="0" collapsed="false">
      <c r="A136" s="76"/>
      <c r="B136" s="76"/>
      <c r="C136" s="77"/>
      <c r="D136" s="78"/>
      <c r="E136" s="79"/>
      <c r="F136" s="63"/>
      <c r="G136" s="78"/>
      <c r="H136" s="78"/>
      <c r="I136" s="78"/>
      <c r="J136" s="78"/>
      <c r="K136" s="78"/>
      <c r="L136" s="78"/>
      <c r="M136" s="78"/>
      <c r="N136" s="78"/>
      <c r="O136" s="78"/>
      <c r="P136" s="80" t="n">
        <v>0</v>
      </c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4"/>
      <c r="AF136" s="75"/>
      <c r="AG136" s="81"/>
      <c r="AH136" s="71"/>
    </row>
    <row r="137" customFormat="false" ht="15.75" hidden="false" customHeight="true" outlineLevel="0" collapsed="false">
      <c r="A137" s="76"/>
      <c r="B137" s="76"/>
      <c r="C137" s="77"/>
      <c r="D137" s="78"/>
      <c r="E137" s="79"/>
      <c r="F137" s="63"/>
      <c r="G137" s="78"/>
      <c r="H137" s="78"/>
      <c r="I137" s="78"/>
      <c r="J137" s="78"/>
      <c r="K137" s="78"/>
      <c r="L137" s="78"/>
      <c r="M137" s="78"/>
      <c r="N137" s="78"/>
      <c r="O137" s="78"/>
      <c r="P137" s="80" t="n">
        <v>0</v>
      </c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4"/>
      <c r="AF137" s="75"/>
      <c r="AG137" s="81"/>
      <c r="AH137" s="71"/>
    </row>
    <row r="138" customFormat="false" ht="15.75" hidden="false" customHeight="true" outlineLevel="0" collapsed="false">
      <c r="A138" s="76"/>
      <c r="B138" s="76"/>
      <c r="C138" s="77"/>
      <c r="D138" s="78"/>
      <c r="E138" s="79"/>
      <c r="F138" s="63"/>
      <c r="G138" s="78"/>
      <c r="H138" s="78"/>
      <c r="I138" s="78"/>
      <c r="J138" s="78"/>
      <c r="K138" s="78"/>
      <c r="L138" s="78"/>
      <c r="M138" s="78"/>
      <c r="N138" s="78"/>
      <c r="O138" s="78"/>
      <c r="P138" s="80" t="n">
        <v>0</v>
      </c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4"/>
      <c r="AF138" s="75"/>
      <c r="AG138" s="81"/>
      <c r="AH138" s="71"/>
    </row>
    <row r="139" customFormat="false" ht="15.75" hidden="false" customHeight="true" outlineLevel="0" collapsed="false">
      <c r="A139" s="76"/>
      <c r="B139" s="76"/>
      <c r="C139" s="77"/>
      <c r="D139" s="78"/>
      <c r="E139" s="79"/>
      <c r="F139" s="63"/>
      <c r="G139" s="78"/>
      <c r="H139" s="78"/>
      <c r="I139" s="78"/>
      <c r="J139" s="78"/>
      <c r="K139" s="78"/>
      <c r="L139" s="78"/>
      <c r="M139" s="78"/>
      <c r="N139" s="78"/>
      <c r="O139" s="78"/>
      <c r="P139" s="80" t="n">
        <v>0</v>
      </c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4"/>
      <c r="AF139" s="75"/>
      <c r="AG139" s="81"/>
      <c r="AH139" s="71"/>
    </row>
    <row r="140" customFormat="false" ht="15.75" hidden="false" customHeight="true" outlineLevel="0" collapsed="false">
      <c r="A140" s="76"/>
      <c r="B140" s="76"/>
      <c r="C140" s="77"/>
      <c r="D140" s="78"/>
      <c r="E140" s="79"/>
      <c r="F140" s="63"/>
      <c r="G140" s="78"/>
      <c r="H140" s="78"/>
      <c r="I140" s="78"/>
      <c r="J140" s="78"/>
      <c r="K140" s="78"/>
      <c r="L140" s="78"/>
      <c r="M140" s="78"/>
      <c r="N140" s="78"/>
      <c r="O140" s="78"/>
      <c r="P140" s="80" t="n">
        <v>0</v>
      </c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4"/>
      <c r="AF140" s="75"/>
      <c r="AG140" s="81"/>
      <c r="AH140" s="71"/>
    </row>
    <row r="141" customFormat="false" ht="15.75" hidden="false" customHeight="true" outlineLevel="0" collapsed="false">
      <c r="A141" s="76"/>
      <c r="B141" s="76"/>
      <c r="C141" s="77"/>
      <c r="D141" s="78"/>
      <c r="E141" s="79"/>
      <c r="F141" s="63"/>
      <c r="G141" s="78"/>
      <c r="H141" s="78"/>
      <c r="I141" s="78"/>
      <c r="J141" s="78"/>
      <c r="K141" s="78"/>
      <c r="L141" s="78"/>
      <c r="M141" s="78"/>
      <c r="N141" s="78"/>
      <c r="O141" s="78"/>
      <c r="P141" s="80" t="n">
        <v>0</v>
      </c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4"/>
      <c r="AF141" s="75"/>
      <c r="AG141" s="81"/>
      <c r="AH141" s="71"/>
    </row>
    <row r="142" customFormat="false" ht="15.75" hidden="false" customHeight="true" outlineLevel="0" collapsed="false">
      <c r="A142" s="76"/>
      <c r="B142" s="76"/>
      <c r="C142" s="77"/>
      <c r="D142" s="78"/>
      <c r="E142" s="79"/>
      <c r="F142" s="63"/>
      <c r="G142" s="78"/>
      <c r="H142" s="78"/>
      <c r="I142" s="78"/>
      <c r="J142" s="78"/>
      <c r="K142" s="78"/>
      <c r="L142" s="78"/>
      <c r="M142" s="78"/>
      <c r="N142" s="78"/>
      <c r="O142" s="78"/>
      <c r="P142" s="80" t="n">
        <v>0</v>
      </c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4"/>
      <c r="AF142" s="75"/>
      <c r="AG142" s="81"/>
      <c r="AH142" s="71"/>
    </row>
    <row r="143" customFormat="false" ht="15.75" hidden="false" customHeight="true" outlineLevel="0" collapsed="false">
      <c r="A143" s="76"/>
      <c r="B143" s="76"/>
      <c r="C143" s="77"/>
      <c r="D143" s="78"/>
      <c r="E143" s="79"/>
      <c r="F143" s="63"/>
      <c r="G143" s="78"/>
      <c r="H143" s="78"/>
      <c r="I143" s="78"/>
      <c r="J143" s="78"/>
      <c r="K143" s="78"/>
      <c r="L143" s="78"/>
      <c r="M143" s="78"/>
      <c r="N143" s="78"/>
      <c r="O143" s="78"/>
      <c r="P143" s="80" t="n">
        <v>0</v>
      </c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4"/>
      <c r="AF143" s="75"/>
      <c r="AG143" s="81"/>
      <c r="AH143" s="71"/>
    </row>
    <row r="144" customFormat="false" ht="15.75" hidden="false" customHeight="true" outlineLevel="0" collapsed="false">
      <c r="A144" s="76"/>
      <c r="B144" s="76"/>
      <c r="C144" s="77"/>
      <c r="D144" s="78"/>
      <c r="E144" s="79"/>
      <c r="F144" s="63"/>
      <c r="G144" s="78"/>
      <c r="H144" s="78"/>
      <c r="I144" s="78"/>
      <c r="J144" s="78"/>
      <c r="K144" s="78"/>
      <c r="L144" s="78"/>
      <c r="M144" s="78"/>
      <c r="N144" s="78"/>
      <c r="O144" s="78"/>
      <c r="P144" s="80" t="n">
        <v>0</v>
      </c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4"/>
      <c r="AF144" s="75"/>
      <c r="AG144" s="81"/>
      <c r="AH144" s="71"/>
    </row>
    <row r="145" customFormat="false" ht="15.75" hidden="false" customHeight="true" outlineLevel="0" collapsed="false">
      <c r="A145" s="76"/>
      <c r="B145" s="76"/>
      <c r="C145" s="77"/>
      <c r="D145" s="78"/>
      <c r="E145" s="79"/>
      <c r="F145" s="63"/>
      <c r="G145" s="78"/>
      <c r="H145" s="78"/>
      <c r="I145" s="78"/>
      <c r="J145" s="78"/>
      <c r="K145" s="78"/>
      <c r="L145" s="78"/>
      <c r="M145" s="78"/>
      <c r="N145" s="78"/>
      <c r="O145" s="78"/>
      <c r="P145" s="80" t="n">
        <v>0</v>
      </c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4"/>
      <c r="AF145" s="75"/>
      <c r="AG145" s="81"/>
      <c r="AH145" s="71"/>
    </row>
    <row r="146" customFormat="false" ht="15.75" hidden="false" customHeight="true" outlineLevel="0" collapsed="false">
      <c r="A146" s="76"/>
      <c r="B146" s="76"/>
      <c r="C146" s="77"/>
      <c r="D146" s="78"/>
      <c r="E146" s="79"/>
      <c r="F146" s="63"/>
      <c r="G146" s="78"/>
      <c r="H146" s="78"/>
      <c r="I146" s="78"/>
      <c r="J146" s="78"/>
      <c r="K146" s="78"/>
      <c r="L146" s="78"/>
      <c r="M146" s="78"/>
      <c r="N146" s="78"/>
      <c r="O146" s="78"/>
      <c r="P146" s="80" t="n">
        <v>0</v>
      </c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4"/>
      <c r="AF146" s="75"/>
      <c r="AG146" s="81"/>
      <c r="AH146" s="71"/>
    </row>
    <row r="147" customFormat="false" ht="15.75" hidden="false" customHeight="true" outlineLevel="0" collapsed="false">
      <c r="A147" s="76"/>
      <c r="B147" s="76"/>
      <c r="C147" s="77"/>
      <c r="D147" s="78"/>
      <c r="E147" s="79"/>
      <c r="F147" s="63"/>
      <c r="G147" s="78"/>
      <c r="H147" s="78"/>
      <c r="I147" s="78"/>
      <c r="J147" s="78"/>
      <c r="K147" s="78"/>
      <c r="L147" s="78"/>
      <c r="M147" s="78"/>
      <c r="N147" s="78"/>
      <c r="O147" s="78"/>
      <c r="P147" s="80" t="n">
        <v>0</v>
      </c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4"/>
      <c r="AF147" s="75"/>
      <c r="AG147" s="81"/>
      <c r="AH147" s="71"/>
    </row>
    <row r="148" customFormat="false" ht="15.75" hidden="false" customHeight="true" outlineLevel="0" collapsed="false">
      <c r="A148" s="76"/>
      <c r="B148" s="76"/>
      <c r="C148" s="77"/>
      <c r="D148" s="78"/>
      <c r="E148" s="79"/>
      <c r="F148" s="63"/>
      <c r="G148" s="78"/>
      <c r="H148" s="78"/>
      <c r="I148" s="78"/>
      <c r="J148" s="78"/>
      <c r="K148" s="78"/>
      <c r="L148" s="78"/>
      <c r="M148" s="78"/>
      <c r="N148" s="78"/>
      <c r="O148" s="78"/>
      <c r="P148" s="80" t="n">
        <v>0</v>
      </c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4"/>
      <c r="AF148" s="75"/>
      <c r="AG148" s="81"/>
      <c r="AH148" s="71"/>
    </row>
    <row r="149" customFormat="false" ht="15.75" hidden="false" customHeight="true" outlineLevel="0" collapsed="false">
      <c r="A149" s="76"/>
      <c r="B149" s="76"/>
      <c r="C149" s="77"/>
      <c r="D149" s="78"/>
      <c r="E149" s="79"/>
      <c r="F149" s="63"/>
      <c r="G149" s="78"/>
      <c r="H149" s="78"/>
      <c r="I149" s="78"/>
      <c r="J149" s="78"/>
      <c r="K149" s="78"/>
      <c r="L149" s="78"/>
      <c r="M149" s="78"/>
      <c r="N149" s="78"/>
      <c r="O149" s="78"/>
      <c r="P149" s="80" t="n">
        <v>0</v>
      </c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4"/>
      <c r="AF149" s="75"/>
      <c r="AG149" s="81"/>
      <c r="AH149" s="71"/>
    </row>
    <row r="150" customFormat="false" ht="15.75" hidden="false" customHeight="true" outlineLevel="0" collapsed="false">
      <c r="A150" s="76"/>
      <c r="B150" s="76"/>
      <c r="C150" s="77"/>
      <c r="D150" s="78"/>
      <c r="E150" s="79"/>
      <c r="F150" s="63"/>
      <c r="G150" s="78"/>
      <c r="H150" s="78"/>
      <c r="I150" s="78"/>
      <c r="J150" s="78"/>
      <c r="K150" s="78"/>
      <c r="L150" s="78"/>
      <c r="M150" s="78"/>
      <c r="N150" s="78"/>
      <c r="O150" s="78"/>
      <c r="P150" s="80" t="n">
        <v>0</v>
      </c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4"/>
      <c r="AF150" s="75"/>
      <c r="AG150" s="81"/>
      <c r="AH150" s="71"/>
    </row>
    <row r="151" customFormat="false" ht="15.75" hidden="false" customHeight="true" outlineLevel="0" collapsed="false">
      <c r="A151" s="76"/>
      <c r="B151" s="76"/>
      <c r="C151" s="77"/>
      <c r="D151" s="78"/>
      <c r="E151" s="79"/>
      <c r="F151" s="63"/>
      <c r="G151" s="78"/>
      <c r="H151" s="78"/>
      <c r="I151" s="78"/>
      <c r="J151" s="78"/>
      <c r="K151" s="78"/>
      <c r="L151" s="78"/>
      <c r="M151" s="78"/>
      <c r="N151" s="78"/>
      <c r="O151" s="78"/>
      <c r="P151" s="80" t="n">
        <v>0</v>
      </c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4"/>
      <c r="AF151" s="75"/>
      <c r="AG151" s="81"/>
      <c r="AH151" s="71"/>
    </row>
    <row r="152" customFormat="false" ht="15.75" hidden="false" customHeight="true" outlineLevel="0" collapsed="false">
      <c r="A152" s="76"/>
      <c r="B152" s="76"/>
      <c r="C152" s="77"/>
      <c r="D152" s="78"/>
      <c r="E152" s="79"/>
      <c r="F152" s="63"/>
      <c r="G152" s="78"/>
      <c r="H152" s="78"/>
      <c r="I152" s="78"/>
      <c r="J152" s="78"/>
      <c r="K152" s="78"/>
      <c r="L152" s="78"/>
      <c r="M152" s="78"/>
      <c r="N152" s="78"/>
      <c r="O152" s="78"/>
      <c r="P152" s="80" t="n">
        <v>0</v>
      </c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4"/>
      <c r="AF152" s="75"/>
      <c r="AG152" s="81"/>
      <c r="AH152" s="71"/>
    </row>
    <row r="153" customFormat="false" ht="15.75" hidden="false" customHeight="true" outlineLevel="0" collapsed="false">
      <c r="A153" s="76"/>
      <c r="B153" s="76"/>
      <c r="C153" s="77"/>
      <c r="D153" s="78"/>
      <c r="E153" s="79"/>
      <c r="F153" s="63"/>
      <c r="G153" s="78"/>
      <c r="H153" s="78"/>
      <c r="I153" s="78"/>
      <c r="J153" s="78"/>
      <c r="K153" s="78"/>
      <c r="L153" s="78"/>
      <c r="M153" s="78"/>
      <c r="N153" s="78"/>
      <c r="O153" s="78"/>
      <c r="P153" s="80" t="n">
        <v>0</v>
      </c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4"/>
      <c r="AF153" s="75"/>
      <c r="AG153" s="81"/>
      <c r="AH153" s="71"/>
    </row>
    <row r="154" customFormat="false" ht="15.75" hidden="false" customHeight="true" outlineLevel="0" collapsed="false">
      <c r="A154" s="76"/>
      <c r="B154" s="76"/>
      <c r="C154" s="77"/>
      <c r="D154" s="78"/>
      <c r="E154" s="79"/>
      <c r="F154" s="63"/>
      <c r="G154" s="78"/>
      <c r="H154" s="78"/>
      <c r="I154" s="78"/>
      <c r="J154" s="78"/>
      <c r="K154" s="78"/>
      <c r="L154" s="78"/>
      <c r="M154" s="78"/>
      <c r="N154" s="78"/>
      <c r="O154" s="78"/>
      <c r="P154" s="80" t="n">
        <v>0</v>
      </c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4"/>
      <c r="AF154" s="75"/>
      <c r="AG154" s="81"/>
      <c r="AH154" s="71"/>
    </row>
    <row r="155" customFormat="false" ht="15.75" hidden="false" customHeight="true" outlineLevel="0" collapsed="false">
      <c r="A155" s="76"/>
      <c r="B155" s="76"/>
      <c r="C155" s="77"/>
      <c r="D155" s="78"/>
      <c r="E155" s="79"/>
      <c r="F155" s="63"/>
      <c r="G155" s="78"/>
      <c r="H155" s="78"/>
      <c r="I155" s="78"/>
      <c r="J155" s="78"/>
      <c r="K155" s="78"/>
      <c r="L155" s="78"/>
      <c r="M155" s="78"/>
      <c r="N155" s="78"/>
      <c r="O155" s="78"/>
      <c r="P155" s="80" t="n">
        <v>0</v>
      </c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4"/>
      <c r="AF155" s="75"/>
      <c r="AG155" s="81"/>
      <c r="AH155" s="71"/>
    </row>
    <row r="156" customFormat="false" ht="15.75" hidden="false" customHeight="true" outlineLevel="0" collapsed="false">
      <c r="A156" s="76"/>
      <c r="B156" s="76"/>
      <c r="C156" s="77"/>
      <c r="D156" s="78"/>
      <c r="E156" s="79"/>
      <c r="F156" s="63"/>
      <c r="G156" s="78"/>
      <c r="H156" s="78"/>
      <c r="I156" s="78"/>
      <c r="J156" s="78"/>
      <c r="K156" s="78"/>
      <c r="L156" s="78"/>
      <c r="M156" s="78"/>
      <c r="N156" s="78"/>
      <c r="O156" s="78"/>
      <c r="P156" s="80" t="n">
        <v>0</v>
      </c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4"/>
      <c r="AF156" s="75"/>
      <c r="AG156" s="81"/>
      <c r="AH156" s="71"/>
    </row>
    <row r="157" customFormat="false" ht="15.75" hidden="false" customHeight="true" outlineLevel="0" collapsed="false">
      <c r="A157" s="76"/>
      <c r="B157" s="76"/>
      <c r="C157" s="77"/>
      <c r="D157" s="78"/>
      <c r="E157" s="79"/>
      <c r="F157" s="63"/>
      <c r="G157" s="78"/>
      <c r="H157" s="78"/>
      <c r="I157" s="78"/>
      <c r="J157" s="78"/>
      <c r="K157" s="78"/>
      <c r="L157" s="78"/>
      <c r="M157" s="78"/>
      <c r="N157" s="78"/>
      <c r="O157" s="78"/>
      <c r="P157" s="80" t="n">
        <v>0</v>
      </c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4"/>
      <c r="AF157" s="75"/>
      <c r="AG157" s="81"/>
      <c r="AH157" s="71"/>
    </row>
    <row r="158" customFormat="false" ht="15.75" hidden="false" customHeight="true" outlineLevel="0" collapsed="false">
      <c r="A158" s="76"/>
      <c r="B158" s="76"/>
      <c r="C158" s="77"/>
      <c r="D158" s="78"/>
      <c r="E158" s="79"/>
      <c r="F158" s="63"/>
      <c r="G158" s="78"/>
      <c r="H158" s="78"/>
      <c r="I158" s="78"/>
      <c r="J158" s="78"/>
      <c r="K158" s="78"/>
      <c r="L158" s="78"/>
      <c r="M158" s="78"/>
      <c r="N158" s="78"/>
      <c r="O158" s="78"/>
      <c r="P158" s="80" t="n">
        <v>0</v>
      </c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4"/>
      <c r="AF158" s="75"/>
      <c r="AG158" s="81"/>
      <c r="AH158" s="71"/>
    </row>
    <row r="159" customFormat="false" ht="15.75" hidden="false" customHeight="true" outlineLevel="0" collapsed="false">
      <c r="A159" s="76"/>
      <c r="B159" s="76"/>
      <c r="C159" s="77"/>
      <c r="D159" s="78"/>
      <c r="E159" s="79"/>
      <c r="F159" s="63"/>
      <c r="G159" s="78"/>
      <c r="H159" s="78"/>
      <c r="I159" s="78"/>
      <c r="J159" s="78"/>
      <c r="K159" s="78"/>
      <c r="L159" s="78"/>
      <c r="M159" s="78"/>
      <c r="N159" s="78"/>
      <c r="O159" s="78"/>
      <c r="P159" s="80" t="n">
        <v>0</v>
      </c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4"/>
      <c r="AF159" s="75"/>
      <c r="AG159" s="81"/>
      <c r="AH159" s="71"/>
    </row>
    <row r="160" customFormat="false" ht="15.75" hidden="false" customHeight="true" outlineLevel="0" collapsed="false">
      <c r="A160" s="76"/>
      <c r="B160" s="76"/>
      <c r="C160" s="77"/>
      <c r="D160" s="78"/>
      <c r="E160" s="79"/>
      <c r="F160" s="63"/>
      <c r="G160" s="78"/>
      <c r="H160" s="78"/>
      <c r="I160" s="78"/>
      <c r="J160" s="78"/>
      <c r="K160" s="78"/>
      <c r="L160" s="78"/>
      <c r="M160" s="78"/>
      <c r="N160" s="78"/>
      <c r="O160" s="78"/>
      <c r="P160" s="80" t="n">
        <v>0</v>
      </c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4"/>
      <c r="AF160" s="75"/>
      <c r="AG160" s="81"/>
      <c r="AH160" s="71"/>
    </row>
    <row r="161" customFormat="false" ht="15.75" hidden="false" customHeight="true" outlineLevel="0" collapsed="false">
      <c r="A161" s="76"/>
      <c r="B161" s="76"/>
      <c r="C161" s="77"/>
      <c r="D161" s="78"/>
      <c r="E161" s="79"/>
      <c r="F161" s="63"/>
      <c r="G161" s="78"/>
      <c r="H161" s="78"/>
      <c r="I161" s="78"/>
      <c r="J161" s="78"/>
      <c r="K161" s="78"/>
      <c r="L161" s="78"/>
      <c r="M161" s="78"/>
      <c r="N161" s="78"/>
      <c r="O161" s="78"/>
      <c r="P161" s="80" t="n">
        <v>0</v>
      </c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4"/>
      <c r="AF161" s="75"/>
      <c r="AG161" s="81"/>
      <c r="AH161" s="71"/>
    </row>
    <row r="162" customFormat="false" ht="15.75" hidden="false" customHeight="true" outlineLevel="0" collapsed="false">
      <c r="A162" s="76"/>
      <c r="B162" s="76"/>
      <c r="C162" s="77"/>
      <c r="D162" s="78"/>
      <c r="E162" s="79"/>
      <c r="F162" s="63"/>
      <c r="G162" s="78"/>
      <c r="H162" s="78"/>
      <c r="I162" s="78"/>
      <c r="J162" s="78"/>
      <c r="K162" s="78"/>
      <c r="L162" s="78"/>
      <c r="M162" s="78"/>
      <c r="N162" s="78"/>
      <c r="O162" s="78"/>
      <c r="P162" s="80" t="n">
        <v>0</v>
      </c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4"/>
      <c r="AF162" s="75"/>
      <c r="AG162" s="81"/>
      <c r="AH162" s="71"/>
    </row>
    <row r="163" customFormat="false" ht="15.75" hidden="false" customHeight="true" outlineLevel="0" collapsed="false">
      <c r="A163" s="76"/>
      <c r="B163" s="76"/>
      <c r="C163" s="77"/>
      <c r="D163" s="78"/>
      <c r="E163" s="79"/>
      <c r="F163" s="63"/>
      <c r="G163" s="78"/>
      <c r="H163" s="78"/>
      <c r="I163" s="78"/>
      <c r="J163" s="78"/>
      <c r="K163" s="78"/>
      <c r="L163" s="78"/>
      <c r="M163" s="78"/>
      <c r="N163" s="78"/>
      <c r="O163" s="78"/>
      <c r="P163" s="80" t="n">
        <v>0</v>
      </c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4"/>
      <c r="AF163" s="75"/>
      <c r="AG163" s="81"/>
      <c r="AH163" s="71"/>
    </row>
    <row r="164" customFormat="false" ht="15.75" hidden="false" customHeight="true" outlineLevel="0" collapsed="false">
      <c r="A164" s="76"/>
      <c r="B164" s="76"/>
      <c r="C164" s="77"/>
      <c r="D164" s="78"/>
      <c r="E164" s="79"/>
      <c r="F164" s="63"/>
      <c r="G164" s="78"/>
      <c r="H164" s="78"/>
      <c r="I164" s="78"/>
      <c r="J164" s="78"/>
      <c r="K164" s="78"/>
      <c r="L164" s="78"/>
      <c r="M164" s="78"/>
      <c r="N164" s="78"/>
      <c r="O164" s="78"/>
      <c r="P164" s="80" t="n">
        <v>0</v>
      </c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4"/>
      <c r="AF164" s="75"/>
      <c r="AG164" s="81"/>
      <c r="AH164" s="71"/>
    </row>
    <row r="165" customFormat="false" ht="15.75" hidden="false" customHeight="true" outlineLevel="0" collapsed="false">
      <c r="A165" s="76"/>
      <c r="B165" s="76"/>
      <c r="C165" s="77"/>
      <c r="D165" s="78"/>
      <c r="E165" s="79"/>
      <c r="F165" s="63"/>
      <c r="G165" s="78"/>
      <c r="H165" s="78"/>
      <c r="I165" s="78"/>
      <c r="J165" s="78"/>
      <c r="K165" s="78"/>
      <c r="L165" s="78"/>
      <c r="M165" s="78"/>
      <c r="N165" s="78"/>
      <c r="O165" s="78"/>
      <c r="P165" s="80" t="n">
        <v>0</v>
      </c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4"/>
      <c r="AF165" s="75"/>
      <c r="AG165" s="81"/>
      <c r="AH165" s="71"/>
    </row>
    <row r="166" customFormat="false" ht="15.75" hidden="false" customHeight="true" outlineLevel="0" collapsed="false">
      <c r="A166" s="76"/>
      <c r="B166" s="76"/>
      <c r="C166" s="77"/>
      <c r="D166" s="78"/>
      <c r="E166" s="79"/>
      <c r="F166" s="63"/>
      <c r="G166" s="78"/>
      <c r="H166" s="78"/>
      <c r="I166" s="78"/>
      <c r="J166" s="78"/>
      <c r="K166" s="78"/>
      <c r="L166" s="78"/>
      <c r="M166" s="78"/>
      <c r="N166" s="78"/>
      <c r="O166" s="78"/>
      <c r="P166" s="80" t="n">
        <v>0</v>
      </c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4"/>
      <c r="AF166" s="75"/>
      <c r="AG166" s="81"/>
      <c r="AH166" s="71"/>
    </row>
    <row r="167" customFormat="false" ht="15.75" hidden="false" customHeight="true" outlineLevel="0" collapsed="false">
      <c r="A167" s="76"/>
      <c r="B167" s="76"/>
      <c r="C167" s="77"/>
      <c r="D167" s="78"/>
      <c r="E167" s="79"/>
      <c r="F167" s="63"/>
      <c r="G167" s="78"/>
      <c r="H167" s="78"/>
      <c r="I167" s="78"/>
      <c r="J167" s="78"/>
      <c r="K167" s="78"/>
      <c r="L167" s="78"/>
      <c r="M167" s="78"/>
      <c r="N167" s="78"/>
      <c r="O167" s="78"/>
      <c r="P167" s="80" t="n">
        <v>0</v>
      </c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4"/>
      <c r="AF167" s="75"/>
      <c r="AG167" s="81"/>
      <c r="AH167" s="71"/>
    </row>
    <row r="168" customFormat="false" ht="15.75" hidden="false" customHeight="true" outlineLevel="0" collapsed="false">
      <c r="A168" s="76"/>
      <c r="B168" s="76"/>
      <c r="C168" s="77"/>
      <c r="D168" s="78"/>
      <c r="E168" s="79"/>
      <c r="F168" s="63"/>
      <c r="G168" s="78"/>
      <c r="H168" s="78"/>
      <c r="I168" s="78"/>
      <c r="J168" s="78"/>
      <c r="K168" s="78"/>
      <c r="L168" s="78"/>
      <c r="M168" s="78"/>
      <c r="N168" s="78"/>
      <c r="O168" s="78"/>
      <c r="P168" s="80" t="n">
        <v>0</v>
      </c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4"/>
      <c r="AF168" s="75"/>
      <c r="AG168" s="81"/>
      <c r="AH168" s="71"/>
    </row>
    <row r="169" customFormat="false" ht="15.75" hidden="false" customHeight="true" outlineLevel="0" collapsed="false">
      <c r="A169" s="76"/>
      <c r="B169" s="76"/>
      <c r="C169" s="77"/>
      <c r="D169" s="78"/>
      <c r="E169" s="79"/>
      <c r="F169" s="63"/>
      <c r="G169" s="78"/>
      <c r="H169" s="78"/>
      <c r="I169" s="78"/>
      <c r="J169" s="78"/>
      <c r="K169" s="78"/>
      <c r="L169" s="78"/>
      <c r="M169" s="78"/>
      <c r="N169" s="78"/>
      <c r="O169" s="78"/>
      <c r="P169" s="80" t="n">
        <v>0</v>
      </c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4"/>
      <c r="AF169" s="75"/>
      <c r="AG169" s="81"/>
      <c r="AH169" s="71"/>
    </row>
    <row r="170" customFormat="false" ht="15.75" hidden="false" customHeight="true" outlineLevel="0" collapsed="false">
      <c r="A170" s="76"/>
      <c r="B170" s="76"/>
      <c r="C170" s="77"/>
      <c r="D170" s="78"/>
      <c r="E170" s="79"/>
      <c r="F170" s="63"/>
      <c r="G170" s="78"/>
      <c r="H170" s="78"/>
      <c r="I170" s="78"/>
      <c r="J170" s="78"/>
      <c r="K170" s="78"/>
      <c r="L170" s="78"/>
      <c r="M170" s="78"/>
      <c r="N170" s="78"/>
      <c r="O170" s="78"/>
      <c r="P170" s="80" t="n">
        <v>0</v>
      </c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4"/>
      <c r="AF170" s="75"/>
      <c r="AG170" s="81"/>
      <c r="AH170" s="71"/>
    </row>
    <row r="171" customFormat="false" ht="15.75" hidden="false" customHeight="true" outlineLevel="0" collapsed="false">
      <c r="A171" s="76"/>
      <c r="B171" s="76"/>
      <c r="C171" s="77"/>
      <c r="D171" s="78"/>
      <c r="E171" s="79"/>
      <c r="F171" s="63"/>
      <c r="G171" s="78"/>
      <c r="H171" s="78"/>
      <c r="I171" s="78"/>
      <c r="J171" s="78"/>
      <c r="K171" s="78"/>
      <c r="L171" s="78"/>
      <c r="M171" s="78"/>
      <c r="N171" s="78"/>
      <c r="O171" s="78"/>
      <c r="P171" s="80" t="n">
        <v>0</v>
      </c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4"/>
      <c r="AF171" s="75"/>
      <c r="AG171" s="81"/>
      <c r="AH171" s="71"/>
    </row>
    <row r="172" customFormat="false" ht="15.75" hidden="false" customHeight="true" outlineLevel="0" collapsed="false">
      <c r="A172" s="76"/>
      <c r="B172" s="76"/>
      <c r="C172" s="77"/>
      <c r="D172" s="78"/>
      <c r="E172" s="79"/>
      <c r="F172" s="63"/>
      <c r="G172" s="78"/>
      <c r="H172" s="78"/>
      <c r="I172" s="78"/>
      <c r="J172" s="78"/>
      <c r="K172" s="78"/>
      <c r="L172" s="78"/>
      <c r="M172" s="78"/>
      <c r="N172" s="78"/>
      <c r="O172" s="78"/>
      <c r="P172" s="80" t="n">
        <v>0</v>
      </c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4"/>
      <c r="AF172" s="75"/>
      <c r="AG172" s="81"/>
      <c r="AH172" s="71"/>
    </row>
    <row r="173" customFormat="false" ht="15.75" hidden="false" customHeight="true" outlineLevel="0" collapsed="false">
      <c r="A173" s="76"/>
      <c r="B173" s="76"/>
      <c r="C173" s="77"/>
      <c r="D173" s="78"/>
      <c r="E173" s="79"/>
      <c r="F173" s="63"/>
      <c r="G173" s="78"/>
      <c r="H173" s="78"/>
      <c r="I173" s="78"/>
      <c r="J173" s="78"/>
      <c r="K173" s="78"/>
      <c r="L173" s="78"/>
      <c r="M173" s="78"/>
      <c r="N173" s="78"/>
      <c r="O173" s="78"/>
      <c r="P173" s="80" t="n">
        <v>0</v>
      </c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4"/>
      <c r="AF173" s="75"/>
      <c r="AG173" s="81"/>
      <c r="AH173" s="71"/>
    </row>
    <row r="174" customFormat="false" ht="15.75" hidden="false" customHeight="true" outlineLevel="0" collapsed="false">
      <c r="A174" s="76"/>
      <c r="B174" s="76"/>
      <c r="C174" s="77"/>
      <c r="D174" s="78"/>
      <c r="E174" s="79"/>
      <c r="F174" s="63"/>
      <c r="G174" s="78"/>
      <c r="H174" s="78"/>
      <c r="I174" s="78"/>
      <c r="J174" s="78"/>
      <c r="K174" s="78"/>
      <c r="L174" s="78"/>
      <c r="M174" s="78"/>
      <c r="N174" s="78"/>
      <c r="O174" s="78"/>
      <c r="P174" s="80" t="n">
        <v>0</v>
      </c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4"/>
      <c r="AF174" s="75"/>
      <c r="AG174" s="81"/>
      <c r="AH174" s="71"/>
    </row>
    <row r="175" customFormat="false" ht="15.75" hidden="false" customHeight="true" outlineLevel="0" collapsed="false">
      <c r="A175" s="76"/>
      <c r="B175" s="76"/>
      <c r="C175" s="77"/>
      <c r="D175" s="78"/>
      <c r="E175" s="79"/>
      <c r="F175" s="63"/>
      <c r="G175" s="78"/>
      <c r="H175" s="78"/>
      <c r="I175" s="78"/>
      <c r="J175" s="78"/>
      <c r="K175" s="78"/>
      <c r="L175" s="78"/>
      <c r="M175" s="78"/>
      <c r="N175" s="78"/>
      <c r="O175" s="78"/>
      <c r="P175" s="80" t="n">
        <v>0</v>
      </c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4"/>
      <c r="AF175" s="75"/>
      <c r="AG175" s="81"/>
      <c r="AH175" s="71"/>
    </row>
    <row r="176" customFormat="false" ht="15.75" hidden="false" customHeight="true" outlineLevel="0" collapsed="false">
      <c r="A176" s="76"/>
      <c r="B176" s="76"/>
      <c r="C176" s="77"/>
      <c r="D176" s="78"/>
      <c r="E176" s="79"/>
      <c r="F176" s="63"/>
      <c r="G176" s="78"/>
      <c r="H176" s="78"/>
      <c r="I176" s="78"/>
      <c r="J176" s="78"/>
      <c r="K176" s="78"/>
      <c r="L176" s="78"/>
      <c r="M176" s="78"/>
      <c r="N176" s="78"/>
      <c r="O176" s="78"/>
      <c r="P176" s="80" t="n">
        <v>0</v>
      </c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4"/>
      <c r="AF176" s="75"/>
      <c r="AG176" s="81"/>
      <c r="AH176" s="71"/>
    </row>
    <row r="177" customFormat="false" ht="15.75" hidden="false" customHeight="true" outlineLevel="0" collapsed="false">
      <c r="A177" s="76"/>
      <c r="B177" s="76"/>
      <c r="C177" s="77"/>
      <c r="D177" s="78"/>
      <c r="E177" s="79"/>
      <c r="F177" s="63"/>
      <c r="G177" s="78"/>
      <c r="H177" s="78"/>
      <c r="I177" s="78"/>
      <c r="J177" s="78"/>
      <c r="K177" s="78"/>
      <c r="L177" s="78"/>
      <c r="M177" s="78"/>
      <c r="N177" s="78"/>
      <c r="O177" s="78"/>
      <c r="P177" s="80" t="n">
        <v>0</v>
      </c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4"/>
      <c r="AF177" s="75"/>
      <c r="AG177" s="81"/>
      <c r="AH177" s="71"/>
    </row>
    <row r="178" customFormat="false" ht="15.75" hidden="false" customHeight="true" outlineLevel="0" collapsed="false">
      <c r="A178" s="76"/>
      <c r="B178" s="76"/>
      <c r="C178" s="77"/>
      <c r="D178" s="78"/>
      <c r="E178" s="79"/>
      <c r="F178" s="63"/>
      <c r="G178" s="78"/>
      <c r="H178" s="78"/>
      <c r="I178" s="78"/>
      <c r="J178" s="78"/>
      <c r="K178" s="78"/>
      <c r="L178" s="78"/>
      <c r="M178" s="78"/>
      <c r="N178" s="78"/>
      <c r="O178" s="78"/>
      <c r="P178" s="80" t="n">
        <v>0</v>
      </c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4"/>
      <c r="AF178" s="75"/>
      <c r="AG178" s="81"/>
      <c r="AH178" s="71"/>
    </row>
    <row r="179" customFormat="false" ht="15.75" hidden="false" customHeight="true" outlineLevel="0" collapsed="false">
      <c r="A179" s="76"/>
      <c r="B179" s="76"/>
      <c r="C179" s="77"/>
      <c r="D179" s="78"/>
      <c r="E179" s="79"/>
      <c r="F179" s="63"/>
      <c r="G179" s="78"/>
      <c r="H179" s="78"/>
      <c r="I179" s="78"/>
      <c r="J179" s="78"/>
      <c r="K179" s="78"/>
      <c r="L179" s="78"/>
      <c r="M179" s="78"/>
      <c r="N179" s="78"/>
      <c r="O179" s="78"/>
      <c r="P179" s="80" t="n">
        <v>0</v>
      </c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4"/>
      <c r="AF179" s="75"/>
      <c r="AG179" s="81"/>
      <c r="AH179" s="71"/>
    </row>
    <row r="180" customFormat="false" ht="15.75" hidden="false" customHeight="true" outlineLevel="0" collapsed="false">
      <c r="A180" s="76"/>
      <c r="B180" s="76"/>
      <c r="C180" s="77"/>
      <c r="D180" s="78"/>
      <c r="E180" s="79"/>
      <c r="F180" s="63"/>
      <c r="G180" s="78"/>
      <c r="H180" s="78"/>
      <c r="I180" s="78"/>
      <c r="J180" s="78"/>
      <c r="K180" s="78"/>
      <c r="L180" s="78"/>
      <c r="M180" s="78"/>
      <c r="N180" s="78"/>
      <c r="O180" s="78"/>
      <c r="P180" s="80" t="n">
        <v>0</v>
      </c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4"/>
      <c r="AF180" s="75"/>
      <c r="AG180" s="81"/>
      <c r="AH180" s="71"/>
    </row>
    <row r="181" customFormat="false" ht="15.75" hidden="false" customHeight="true" outlineLevel="0" collapsed="false">
      <c r="A181" s="76"/>
      <c r="B181" s="76"/>
      <c r="C181" s="77"/>
      <c r="D181" s="78"/>
      <c r="E181" s="79"/>
      <c r="F181" s="63"/>
      <c r="G181" s="78"/>
      <c r="H181" s="78"/>
      <c r="I181" s="78"/>
      <c r="J181" s="78"/>
      <c r="K181" s="78"/>
      <c r="L181" s="78"/>
      <c r="M181" s="78"/>
      <c r="N181" s="78"/>
      <c r="O181" s="78"/>
      <c r="P181" s="80" t="n">
        <v>0</v>
      </c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4"/>
      <c r="AF181" s="75"/>
      <c r="AG181" s="81"/>
      <c r="AH181" s="71"/>
    </row>
    <row r="182" customFormat="false" ht="15.75" hidden="false" customHeight="true" outlineLevel="0" collapsed="false">
      <c r="A182" s="76"/>
      <c r="B182" s="76"/>
      <c r="C182" s="77"/>
      <c r="D182" s="78"/>
      <c r="E182" s="79"/>
      <c r="F182" s="63"/>
      <c r="G182" s="78"/>
      <c r="H182" s="78"/>
      <c r="I182" s="78"/>
      <c r="J182" s="78"/>
      <c r="K182" s="78"/>
      <c r="L182" s="78"/>
      <c r="M182" s="78"/>
      <c r="N182" s="78"/>
      <c r="O182" s="78"/>
      <c r="P182" s="80" t="n">
        <v>0</v>
      </c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4"/>
      <c r="AF182" s="75"/>
      <c r="AG182" s="81"/>
      <c r="AH182" s="71"/>
    </row>
    <row r="183" customFormat="false" ht="15.75" hidden="false" customHeight="true" outlineLevel="0" collapsed="false">
      <c r="A183" s="76"/>
      <c r="B183" s="76"/>
      <c r="C183" s="77"/>
      <c r="D183" s="78"/>
      <c r="E183" s="79"/>
      <c r="F183" s="63"/>
      <c r="G183" s="78"/>
      <c r="H183" s="78"/>
      <c r="I183" s="78"/>
      <c r="J183" s="78"/>
      <c r="K183" s="78"/>
      <c r="L183" s="78"/>
      <c r="M183" s="78"/>
      <c r="N183" s="78"/>
      <c r="O183" s="78"/>
      <c r="P183" s="80" t="n">
        <v>0</v>
      </c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4"/>
      <c r="AF183" s="75"/>
      <c r="AG183" s="81"/>
      <c r="AH183" s="71"/>
    </row>
    <row r="184" customFormat="false" ht="15.75" hidden="false" customHeight="true" outlineLevel="0" collapsed="false">
      <c r="A184" s="76"/>
      <c r="B184" s="76"/>
      <c r="C184" s="77"/>
      <c r="D184" s="78"/>
      <c r="E184" s="79"/>
      <c r="F184" s="63"/>
      <c r="G184" s="78"/>
      <c r="H184" s="78"/>
      <c r="I184" s="78"/>
      <c r="J184" s="78"/>
      <c r="K184" s="78"/>
      <c r="L184" s="78"/>
      <c r="M184" s="78"/>
      <c r="N184" s="78"/>
      <c r="O184" s="78"/>
      <c r="P184" s="80" t="n">
        <v>0</v>
      </c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4"/>
      <c r="AF184" s="75"/>
      <c r="AG184" s="81"/>
      <c r="AH184" s="71"/>
    </row>
    <row r="185" customFormat="false" ht="15.75" hidden="false" customHeight="true" outlineLevel="0" collapsed="false">
      <c r="A185" s="76"/>
      <c r="B185" s="76"/>
      <c r="C185" s="77"/>
      <c r="D185" s="78"/>
      <c r="E185" s="79"/>
      <c r="F185" s="63"/>
      <c r="G185" s="78"/>
      <c r="H185" s="78"/>
      <c r="I185" s="78"/>
      <c r="J185" s="78"/>
      <c r="K185" s="78"/>
      <c r="L185" s="78"/>
      <c r="M185" s="78"/>
      <c r="N185" s="78"/>
      <c r="O185" s="78"/>
      <c r="P185" s="80" t="n">
        <v>0</v>
      </c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4"/>
      <c r="AF185" s="75"/>
      <c r="AG185" s="81"/>
      <c r="AH185" s="71"/>
    </row>
    <row r="186" customFormat="false" ht="15.75" hidden="false" customHeight="true" outlineLevel="0" collapsed="false">
      <c r="A186" s="76"/>
      <c r="B186" s="76"/>
      <c r="C186" s="77"/>
      <c r="D186" s="78"/>
      <c r="E186" s="79"/>
      <c r="F186" s="63"/>
      <c r="G186" s="78"/>
      <c r="H186" s="78"/>
      <c r="I186" s="78"/>
      <c r="J186" s="78"/>
      <c r="K186" s="78"/>
      <c r="L186" s="78"/>
      <c r="M186" s="78"/>
      <c r="N186" s="78"/>
      <c r="O186" s="78"/>
      <c r="P186" s="80" t="n">
        <v>0</v>
      </c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4"/>
      <c r="AF186" s="75"/>
      <c r="AG186" s="81"/>
      <c r="AH186" s="71"/>
    </row>
    <row r="187" customFormat="false" ht="15.75" hidden="false" customHeight="true" outlineLevel="0" collapsed="false">
      <c r="A187" s="82"/>
      <c r="B187" s="82"/>
      <c r="C187" s="83"/>
      <c r="D187" s="84"/>
      <c r="E187" s="85"/>
      <c r="F187" s="63"/>
      <c r="G187" s="78"/>
      <c r="H187" s="78"/>
      <c r="I187" s="78"/>
      <c r="J187" s="78"/>
      <c r="K187" s="78"/>
      <c r="L187" s="78"/>
      <c r="M187" s="78"/>
      <c r="N187" s="78"/>
      <c r="O187" s="78"/>
      <c r="P187" s="80" t="n">
        <v>0</v>
      </c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4"/>
      <c r="AF187" s="75"/>
      <c r="AG187" s="81"/>
      <c r="AH187" s="71"/>
    </row>
    <row r="188" customFormat="false" ht="15.75" hidden="false" customHeight="true" outlineLevel="0" collapsed="false">
      <c r="A188" s="82"/>
      <c r="B188" s="82"/>
      <c r="C188" s="83"/>
      <c r="D188" s="84"/>
      <c r="E188" s="85"/>
      <c r="F188" s="63"/>
      <c r="G188" s="78"/>
      <c r="H188" s="78"/>
      <c r="I188" s="78"/>
      <c r="J188" s="78"/>
      <c r="K188" s="78"/>
      <c r="L188" s="78"/>
      <c r="M188" s="78"/>
      <c r="N188" s="78"/>
      <c r="O188" s="78"/>
      <c r="P188" s="80" t="n">
        <v>0</v>
      </c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4"/>
      <c r="AF188" s="75"/>
      <c r="AG188" s="81"/>
      <c r="AH188" s="71"/>
    </row>
    <row r="189" customFormat="false" ht="15.75" hidden="false" customHeight="true" outlineLevel="0" collapsed="false">
      <c r="A189" s="82"/>
      <c r="B189" s="82"/>
      <c r="C189" s="83"/>
      <c r="D189" s="84"/>
      <c r="E189" s="85"/>
      <c r="F189" s="63"/>
      <c r="G189" s="78"/>
      <c r="H189" s="78"/>
      <c r="I189" s="78"/>
      <c r="J189" s="78"/>
      <c r="K189" s="78"/>
      <c r="L189" s="78"/>
      <c r="M189" s="78"/>
      <c r="N189" s="78"/>
      <c r="O189" s="78"/>
      <c r="P189" s="80" t="n">
        <v>0</v>
      </c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4"/>
      <c r="AF189" s="75"/>
      <c r="AG189" s="81"/>
      <c r="AH189" s="71"/>
    </row>
    <row r="190" customFormat="false" ht="15.75" hidden="false" customHeight="true" outlineLevel="0" collapsed="false">
      <c r="A190" s="76"/>
      <c r="B190" s="76"/>
      <c r="C190" s="77"/>
      <c r="D190" s="78"/>
      <c r="E190" s="79"/>
      <c r="F190" s="63"/>
      <c r="G190" s="78"/>
      <c r="H190" s="78"/>
      <c r="I190" s="78"/>
      <c r="J190" s="78"/>
      <c r="K190" s="78"/>
      <c r="L190" s="78"/>
      <c r="M190" s="78"/>
      <c r="N190" s="78"/>
      <c r="O190" s="78"/>
      <c r="P190" s="80" t="n">
        <v>0</v>
      </c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4"/>
      <c r="AF190" s="75"/>
      <c r="AG190" s="81"/>
      <c r="AH190" s="71"/>
    </row>
    <row r="191" customFormat="false" ht="15.75" hidden="false" customHeight="true" outlineLevel="0" collapsed="false">
      <c r="A191" s="76"/>
      <c r="B191" s="76"/>
      <c r="C191" s="77"/>
      <c r="D191" s="78"/>
      <c r="E191" s="79"/>
      <c r="F191" s="63"/>
      <c r="G191" s="78"/>
      <c r="H191" s="78"/>
      <c r="I191" s="78"/>
      <c r="J191" s="78"/>
      <c r="K191" s="78"/>
      <c r="L191" s="78"/>
      <c r="M191" s="78"/>
      <c r="N191" s="78"/>
      <c r="O191" s="78"/>
      <c r="P191" s="80" t="n">
        <v>0</v>
      </c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4"/>
      <c r="AF191" s="75"/>
      <c r="AG191" s="81"/>
      <c r="AH191" s="71"/>
    </row>
    <row r="192" customFormat="false" ht="15.75" hidden="false" customHeight="true" outlineLevel="0" collapsed="false">
      <c r="A192" s="76"/>
      <c r="B192" s="76"/>
      <c r="C192" s="77"/>
      <c r="D192" s="78"/>
      <c r="E192" s="79"/>
      <c r="F192" s="63"/>
      <c r="G192" s="78"/>
      <c r="H192" s="78"/>
      <c r="I192" s="78"/>
      <c r="J192" s="78"/>
      <c r="K192" s="78"/>
      <c r="L192" s="78"/>
      <c r="M192" s="78"/>
      <c r="N192" s="78"/>
      <c r="O192" s="78"/>
      <c r="P192" s="80" t="n">
        <v>0</v>
      </c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4"/>
      <c r="AF192" s="75"/>
      <c r="AG192" s="81"/>
      <c r="AH192" s="71"/>
    </row>
    <row r="193" customFormat="false" ht="15.75" hidden="false" customHeight="true" outlineLevel="0" collapsed="false">
      <c r="A193" s="76"/>
      <c r="B193" s="76"/>
      <c r="C193" s="77"/>
      <c r="D193" s="78"/>
      <c r="E193" s="79"/>
      <c r="F193" s="63"/>
      <c r="G193" s="78"/>
      <c r="H193" s="78"/>
      <c r="I193" s="78"/>
      <c r="J193" s="78"/>
      <c r="K193" s="78"/>
      <c r="L193" s="78"/>
      <c r="M193" s="78"/>
      <c r="N193" s="78"/>
      <c r="O193" s="78"/>
      <c r="P193" s="80" t="n">
        <v>0</v>
      </c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4"/>
      <c r="AF193" s="75"/>
      <c r="AG193" s="81"/>
      <c r="AH193" s="71"/>
    </row>
    <row r="194" customFormat="false" ht="15.75" hidden="false" customHeight="true" outlineLevel="0" collapsed="false">
      <c r="A194" s="76"/>
      <c r="B194" s="76"/>
      <c r="C194" s="77"/>
      <c r="D194" s="78"/>
      <c r="E194" s="79"/>
      <c r="F194" s="63"/>
      <c r="G194" s="78"/>
      <c r="H194" s="78"/>
      <c r="I194" s="78"/>
      <c r="J194" s="78"/>
      <c r="K194" s="78"/>
      <c r="L194" s="78"/>
      <c r="M194" s="78"/>
      <c r="N194" s="78"/>
      <c r="O194" s="78"/>
      <c r="P194" s="80" t="n">
        <v>0</v>
      </c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4"/>
      <c r="AF194" s="75"/>
      <c r="AG194" s="81"/>
      <c r="AH194" s="71"/>
    </row>
    <row r="195" customFormat="false" ht="15.75" hidden="false" customHeight="true" outlineLevel="0" collapsed="false">
      <c r="A195" s="76"/>
      <c r="B195" s="76"/>
      <c r="C195" s="77"/>
      <c r="D195" s="78"/>
      <c r="E195" s="79"/>
      <c r="F195" s="63"/>
      <c r="G195" s="78"/>
      <c r="H195" s="78"/>
      <c r="I195" s="78"/>
      <c r="J195" s="78"/>
      <c r="K195" s="78"/>
      <c r="L195" s="78"/>
      <c r="M195" s="78"/>
      <c r="N195" s="78"/>
      <c r="O195" s="78"/>
      <c r="P195" s="80" t="n">
        <v>0</v>
      </c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4"/>
      <c r="AF195" s="75"/>
      <c r="AG195" s="81"/>
      <c r="AH195" s="71"/>
    </row>
    <row r="196" customFormat="false" ht="15.75" hidden="false" customHeight="true" outlineLevel="0" collapsed="false">
      <c r="A196" s="76"/>
      <c r="B196" s="76"/>
      <c r="C196" s="77"/>
      <c r="D196" s="78"/>
      <c r="E196" s="79"/>
      <c r="F196" s="63"/>
      <c r="G196" s="78"/>
      <c r="H196" s="78"/>
      <c r="I196" s="78"/>
      <c r="J196" s="78"/>
      <c r="K196" s="78"/>
      <c r="L196" s="78"/>
      <c r="M196" s="78"/>
      <c r="N196" s="78"/>
      <c r="O196" s="78"/>
      <c r="P196" s="80" t="n">
        <v>0</v>
      </c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4"/>
      <c r="AF196" s="75"/>
      <c r="AG196" s="81"/>
      <c r="AH196" s="71"/>
    </row>
    <row r="197" customFormat="false" ht="15.75" hidden="false" customHeight="true" outlineLevel="0" collapsed="false">
      <c r="A197" s="76"/>
      <c r="B197" s="76"/>
      <c r="C197" s="77"/>
      <c r="D197" s="78"/>
      <c r="E197" s="79"/>
      <c r="F197" s="63"/>
      <c r="G197" s="78"/>
      <c r="H197" s="78"/>
      <c r="I197" s="78"/>
      <c r="J197" s="78"/>
      <c r="K197" s="78"/>
      <c r="L197" s="78"/>
      <c r="M197" s="78"/>
      <c r="N197" s="78"/>
      <c r="O197" s="78"/>
      <c r="P197" s="80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4"/>
      <c r="AF197" s="75"/>
      <c r="AG197" s="81"/>
      <c r="AH197" s="71"/>
    </row>
    <row r="198" customFormat="false" ht="15.75" hidden="false" customHeight="true" outlineLevel="0" collapsed="false">
      <c r="A198" s="76"/>
      <c r="B198" s="76"/>
      <c r="C198" s="77"/>
      <c r="D198" s="78"/>
      <c r="E198" s="79"/>
      <c r="F198" s="63"/>
      <c r="G198" s="78"/>
      <c r="H198" s="78"/>
      <c r="I198" s="78"/>
      <c r="J198" s="78"/>
      <c r="K198" s="78"/>
      <c r="L198" s="78"/>
      <c r="M198" s="78"/>
      <c r="N198" s="78"/>
      <c r="O198" s="78"/>
      <c r="P198" s="80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4"/>
      <c r="AF198" s="75"/>
      <c r="AG198" s="81"/>
      <c r="AH198" s="71"/>
    </row>
    <row r="199" customFormat="false" ht="15.75" hidden="false" customHeight="true" outlineLevel="0" collapsed="false">
      <c r="A199" s="76"/>
      <c r="B199" s="76"/>
      <c r="C199" s="77"/>
      <c r="D199" s="78"/>
      <c r="E199" s="79"/>
      <c r="F199" s="63"/>
      <c r="G199" s="78"/>
      <c r="H199" s="78"/>
      <c r="I199" s="78"/>
      <c r="J199" s="78"/>
      <c r="K199" s="78"/>
      <c r="L199" s="78"/>
      <c r="M199" s="78"/>
      <c r="N199" s="78"/>
      <c r="O199" s="78"/>
      <c r="P199" s="80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4"/>
      <c r="AF199" s="75"/>
      <c r="AG199" s="81"/>
      <c r="AH199" s="71"/>
    </row>
    <row r="200" customFormat="false" ht="15.75" hidden="false" customHeight="true" outlineLevel="0" collapsed="false">
      <c r="A200" s="76"/>
      <c r="B200" s="76"/>
      <c r="C200" s="77"/>
      <c r="D200" s="78"/>
      <c r="E200" s="79"/>
      <c r="F200" s="63"/>
      <c r="G200" s="78"/>
      <c r="H200" s="78"/>
      <c r="I200" s="78"/>
      <c r="J200" s="78"/>
      <c r="K200" s="78"/>
      <c r="L200" s="78"/>
      <c r="M200" s="78"/>
      <c r="N200" s="78"/>
      <c r="O200" s="78"/>
      <c r="P200" s="80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4"/>
      <c r="AF200" s="75"/>
      <c r="AG200" s="81"/>
      <c r="AH200" s="71"/>
    </row>
    <row r="201" customFormat="false" ht="15.75" hidden="false" customHeight="true" outlineLevel="0" collapsed="false">
      <c r="A201" s="76"/>
      <c r="B201" s="76"/>
      <c r="C201" s="77"/>
      <c r="D201" s="78"/>
      <c r="E201" s="79"/>
      <c r="F201" s="63"/>
      <c r="G201" s="78"/>
      <c r="H201" s="78"/>
      <c r="I201" s="78"/>
      <c r="J201" s="78"/>
      <c r="K201" s="78"/>
      <c r="L201" s="78"/>
      <c r="M201" s="78"/>
      <c r="N201" s="78"/>
      <c r="O201" s="78"/>
      <c r="P201" s="80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4"/>
      <c r="AF201" s="75"/>
      <c r="AG201" s="81"/>
      <c r="AH201" s="71"/>
    </row>
    <row r="202" customFormat="false" ht="15.75" hidden="false" customHeight="true" outlineLevel="0" collapsed="false">
      <c r="A202" s="76"/>
      <c r="B202" s="76"/>
      <c r="C202" s="77"/>
      <c r="D202" s="78"/>
      <c r="E202" s="79"/>
      <c r="F202" s="63"/>
      <c r="G202" s="78"/>
      <c r="H202" s="78"/>
      <c r="I202" s="78"/>
      <c r="J202" s="78"/>
      <c r="K202" s="78"/>
      <c r="L202" s="78"/>
      <c r="M202" s="78"/>
      <c r="N202" s="78"/>
      <c r="O202" s="78"/>
      <c r="P202" s="80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4"/>
      <c r="AF202" s="75"/>
      <c r="AG202" s="81"/>
      <c r="AH202" s="71"/>
    </row>
    <row r="203" customFormat="false" ht="15.75" hidden="false" customHeight="true" outlineLevel="0" collapsed="false">
      <c r="A203" s="76"/>
      <c r="B203" s="76"/>
      <c r="C203" s="77"/>
      <c r="D203" s="78"/>
      <c r="E203" s="79"/>
      <c r="F203" s="63"/>
      <c r="G203" s="78"/>
      <c r="H203" s="78"/>
      <c r="I203" s="78"/>
      <c r="J203" s="78"/>
      <c r="K203" s="78"/>
      <c r="L203" s="78"/>
      <c r="M203" s="78"/>
      <c r="N203" s="78"/>
      <c r="O203" s="78"/>
      <c r="P203" s="80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4"/>
      <c r="AF203" s="75"/>
      <c r="AG203" s="81"/>
      <c r="AH203" s="71"/>
    </row>
    <row r="204" customFormat="false" ht="15.75" hidden="false" customHeight="true" outlineLevel="0" collapsed="false">
      <c r="A204" s="76"/>
      <c r="B204" s="76"/>
      <c r="C204" s="77"/>
      <c r="D204" s="78"/>
      <c r="E204" s="79"/>
      <c r="F204" s="63"/>
      <c r="G204" s="78"/>
      <c r="H204" s="78"/>
      <c r="I204" s="78"/>
      <c r="J204" s="78"/>
      <c r="K204" s="78"/>
      <c r="L204" s="78"/>
      <c r="M204" s="78"/>
      <c r="N204" s="78"/>
      <c r="O204" s="78"/>
      <c r="P204" s="80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4"/>
      <c r="AF204" s="75"/>
      <c r="AG204" s="81"/>
      <c r="AH204" s="71"/>
    </row>
    <row r="205" customFormat="false" ht="15.75" hidden="false" customHeight="true" outlineLevel="0" collapsed="false">
      <c r="A205" s="76"/>
      <c r="B205" s="76"/>
      <c r="C205" s="77"/>
      <c r="D205" s="78"/>
      <c r="E205" s="79"/>
      <c r="F205" s="63"/>
      <c r="G205" s="78"/>
      <c r="H205" s="78"/>
      <c r="I205" s="78"/>
      <c r="J205" s="78"/>
      <c r="K205" s="78"/>
      <c r="L205" s="78"/>
      <c r="M205" s="78"/>
      <c r="N205" s="78"/>
      <c r="O205" s="78"/>
      <c r="P205" s="80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4"/>
      <c r="AF205" s="75"/>
      <c r="AG205" s="81"/>
      <c r="AH205" s="71"/>
    </row>
    <row r="206" customFormat="false" ht="15.75" hidden="false" customHeight="true" outlineLevel="0" collapsed="false">
      <c r="A206" s="76"/>
      <c r="B206" s="76"/>
      <c r="C206" s="77"/>
      <c r="D206" s="78"/>
      <c r="E206" s="79"/>
      <c r="F206" s="63"/>
      <c r="G206" s="78"/>
      <c r="H206" s="78"/>
      <c r="I206" s="78"/>
      <c r="J206" s="78"/>
      <c r="K206" s="78"/>
      <c r="L206" s="78"/>
      <c r="M206" s="78"/>
      <c r="N206" s="78"/>
      <c r="O206" s="78"/>
      <c r="P206" s="80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4"/>
      <c r="AF206" s="75"/>
      <c r="AG206" s="81"/>
      <c r="AH206" s="71"/>
    </row>
    <row r="207" customFormat="false" ht="15.75" hidden="false" customHeight="true" outlineLevel="0" collapsed="false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S207" s="2"/>
      <c r="T207" s="2"/>
      <c r="U207" s="2"/>
      <c r="V207" s="2"/>
      <c r="W207" s="2"/>
      <c r="X207" s="2"/>
      <c r="Y207" s="2"/>
      <c r="Z207" s="90"/>
      <c r="AA207" s="2"/>
      <c r="AB207" s="2"/>
      <c r="AC207" s="2"/>
      <c r="AD207" s="2"/>
      <c r="AE207" s="2"/>
      <c r="AF207" s="2"/>
      <c r="AH207" s="8"/>
    </row>
    <row r="208" customFormat="false" ht="15.75" hidden="false" customHeight="true" outlineLevel="0" collapsed="false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S208" s="2"/>
      <c r="T208" s="2"/>
      <c r="U208" s="2"/>
      <c r="V208" s="2"/>
      <c r="W208" s="2"/>
      <c r="X208" s="2"/>
      <c r="Y208" s="2"/>
      <c r="Z208" s="90"/>
      <c r="AA208" s="2"/>
      <c r="AB208" s="2"/>
      <c r="AC208" s="2"/>
      <c r="AD208" s="2"/>
      <c r="AE208" s="2"/>
      <c r="AF208" s="2"/>
      <c r="AH208" s="8"/>
    </row>
    <row r="209" customFormat="false" ht="15.75" hidden="false" customHeight="true" outlineLevel="0" collapsed="false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S209" s="2"/>
      <c r="T209" s="2"/>
      <c r="U209" s="2"/>
      <c r="V209" s="2"/>
      <c r="W209" s="2"/>
      <c r="X209" s="2"/>
      <c r="Y209" s="2"/>
      <c r="Z209" s="90"/>
      <c r="AA209" s="2"/>
      <c r="AB209" s="2"/>
      <c r="AC209" s="2"/>
      <c r="AD209" s="2"/>
      <c r="AE209" s="2"/>
      <c r="AF209" s="2"/>
      <c r="AH209" s="8"/>
    </row>
    <row r="210" customFormat="false" ht="15.75" hidden="false" customHeight="true" outlineLevel="0" collapsed="false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S210" s="2"/>
      <c r="T210" s="2"/>
      <c r="U210" s="2"/>
      <c r="V210" s="2"/>
      <c r="W210" s="2"/>
      <c r="X210" s="2"/>
      <c r="Y210" s="2"/>
      <c r="Z210" s="90"/>
      <c r="AA210" s="2"/>
      <c r="AB210" s="2"/>
      <c r="AC210" s="2"/>
      <c r="AD210" s="2"/>
      <c r="AE210" s="2"/>
      <c r="AF210" s="2"/>
      <c r="AH210" s="8"/>
    </row>
    <row r="211" customFormat="false" ht="15.75" hidden="false" customHeight="true" outlineLevel="0" collapsed="false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S211" s="2"/>
      <c r="T211" s="2"/>
      <c r="U211" s="2"/>
      <c r="V211" s="2"/>
      <c r="W211" s="2"/>
      <c r="X211" s="2"/>
      <c r="Y211" s="2"/>
      <c r="Z211" s="90"/>
      <c r="AA211" s="2"/>
      <c r="AB211" s="2"/>
      <c r="AC211" s="2"/>
      <c r="AD211" s="2"/>
      <c r="AE211" s="2"/>
      <c r="AF211" s="2"/>
      <c r="AH211" s="8"/>
    </row>
    <row r="212" customFormat="false" ht="15.75" hidden="false" customHeight="true" outlineLevel="0" collapsed="false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S212" s="2"/>
      <c r="T212" s="2"/>
      <c r="U212" s="2"/>
      <c r="V212" s="2"/>
      <c r="W212" s="2"/>
      <c r="X212" s="2"/>
      <c r="Y212" s="2"/>
      <c r="Z212" s="90"/>
      <c r="AA212" s="2"/>
      <c r="AB212" s="2"/>
      <c r="AC212" s="2"/>
      <c r="AD212" s="2"/>
      <c r="AE212" s="2"/>
      <c r="AF212" s="2"/>
      <c r="AH212" s="8"/>
    </row>
    <row r="213" customFormat="false" ht="15.75" hidden="false" customHeight="true" outlineLevel="0" collapsed="false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S213" s="2"/>
      <c r="T213" s="2"/>
      <c r="U213" s="2"/>
      <c r="V213" s="2"/>
      <c r="W213" s="2"/>
      <c r="X213" s="2"/>
      <c r="Y213" s="2"/>
      <c r="Z213" s="90"/>
      <c r="AA213" s="2"/>
      <c r="AB213" s="2"/>
      <c r="AC213" s="2"/>
      <c r="AD213" s="2"/>
      <c r="AE213" s="2"/>
      <c r="AF213" s="2"/>
      <c r="AH213" s="8"/>
    </row>
    <row r="214" customFormat="false" ht="15.75" hidden="false" customHeight="true" outlineLevel="0" collapsed="false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S214" s="2"/>
      <c r="T214" s="2"/>
      <c r="U214" s="2"/>
      <c r="V214" s="2"/>
      <c r="W214" s="2"/>
      <c r="X214" s="2"/>
      <c r="Y214" s="2"/>
      <c r="Z214" s="90"/>
      <c r="AA214" s="2"/>
      <c r="AB214" s="2"/>
      <c r="AC214" s="2"/>
      <c r="AD214" s="2"/>
      <c r="AE214" s="2"/>
      <c r="AF214" s="2"/>
      <c r="AH214" s="8"/>
    </row>
    <row r="215" customFormat="false" ht="15.75" hidden="false" customHeight="true" outlineLevel="0" collapsed="false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S215" s="2"/>
      <c r="T215" s="2"/>
      <c r="U215" s="2"/>
      <c r="V215" s="2"/>
      <c r="W215" s="2"/>
      <c r="X215" s="2"/>
      <c r="Y215" s="2"/>
      <c r="Z215" s="90"/>
      <c r="AA215" s="2"/>
      <c r="AB215" s="2"/>
      <c r="AC215" s="2"/>
      <c r="AD215" s="2"/>
      <c r="AE215" s="2"/>
      <c r="AF215" s="2"/>
      <c r="AH215" s="8"/>
    </row>
    <row r="216" customFormat="false" ht="15.75" hidden="false" customHeight="true" outlineLevel="0" collapsed="false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S216" s="2"/>
      <c r="T216" s="2"/>
      <c r="U216" s="2"/>
      <c r="V216" s="2"/>
      <c r="W216" s="2"/>
      <c r="X216" s="2"/>
      <c r="Y216" s="2"/>
      <c r="Z216" s="90"/>
      <c r="AA216" s="2"/>
      <c r="AB216" s="2"/>
      <c r="AC216" s="2"/>
      <c r="AD216" s="2"/>
      <c r="AE216" s="2"/>
      <c r="AF216" s="2"/>
      <c r="AH216" s="8"/>
    </row>
    <row r="217" customFormat="false" ht="15.75" hidden="false" customHeight="true" outlineLevel="0" collapsed="false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S217" s="2"/>
      <c r="T217" s="2"/>
      <c r="U217" s="2"/>
      <c r="V217" s="2"/>
      <c r="W217" s="2"/>
      <c r="X217" s="2"/>
      <c r="Y217" s="2"/>
      <c r="Z217" s="90"/>
      <c r="AA217" s="2"/>
      <c r="AB217" s="2"/>
      <c r="AC217" s="2"/>
      <c r="AD217" s="2"/>
      <c r="AE217" s="2"/>
      <c r="AF217" s="2"/>
      <c r="AH217" s="8"/>
    </row>
    <row r="218" customFormat="false" ht="15.75" hidden="false" customHeight="true" outlineLevel="0" collapsed="false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S218" s="2"/>
      <c r="T218" s="2"/>
      <c r="U218" s="2"/>
      <c r="V218" s="2"/>
      <c r="W218" s="2"/>
      <c r="X218" s="2"/>
      <c r="Y218" s="2"/>
      <c r="Z218" s="90"/>
      <c r="AA218" s="2"/>
      <c r="AB218" s="2"/>
      <c r="AC218" s="2"/>
      <c r="AD218" s="2"/>
      <c r="AE218" s="2"/>
      <c r="AF218" s="2"/>
      <c r="AH218" s="8"/>
    </row>
    <row r="219" customFormat="false" ht="15.75" hidden="false" customHeight="true" outlineLevel="0" collapsed="false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S219" s="2"/>
      <c r="T219" s="2"/>
      <c r="U219" s="2"/>
      <c r="V219" s="2"/>
      <c r="W219" s="2"/>
      <c r="X219" s="2"/>
      <c r="Y219" s="2"/>
      <c r="Z219" s="90"/>
      <c r="AA219" s="2"/>
      <c r="AB219" s="2"/>
      <c r="AC219" s="2"/>
      <c r="AD219" s="2"/>
      <c r="AE219" s="2"/>
      <c r="AF219" s="2"/>
      <c r="AH219" s="8"/>
    </row>
    <row r="220" customFormat="false" ht="15.75" hidden="false" customHeight="true" outlineLevel="0" collapsed="false">
      <c r="A220" s="91" t="n">
        <v>2026</v>
      </c>
      <c r="B220" s="91" t="s">
        <v>261</v>
      </c>
      <c r="C220" s="92"/>
      <c r="D220" s="92"/>
      <c r="E220" s="92"/>
      <c r="F220" s="92"/>
      <c r="G220" s="92"/>
      <c r="H220" s="92"/>
      <c r="I220" s="92"/>
      <c r="J220" s="92"/>
      <c r="K220" s="93"/>
      <c r="L220" s="92"/>
      <c r="M220" s="92"/>
      <c r="N220" s="94" t="n">
        <v>2026</v>
      </c>
      <c r="O220" s="95" t="s">
        <v>262</v>
      </c>
      <c r="P220" s="96" t="n">
        <f aca="false">SUM(P221:P228)</f>
        <v>0</v>
      </c>
      <c r="Q220" s="97" t="s">
        <v>263</v>
      </c>
      <c r="R220" s="98" t="s">
        <v>264</v>
      </c>
      <c r="S220" s="98" t="s">
        <v>7</v>
      </c>
      <c r="T220" s="98"/>
      <c r="U220" s="98"/>
      <c r="V220" s="98" t="s">
        <v>9</v>
      </c>
      <c r="W220" s="98" t="s">
        <v>265</v>
      </c>
      <c r="X220" s="98" t="s">
        <v>266</v>
      </c>
      <c r="Y220" s="98"/>
      <c r="Z220" s="98" t="s">
        <v>10</v>
      </c>
      <c r="AA220" s="98" t="s">
        <v>38</v>
      </c>
      <c r="AB220" s="98"/>
      <c r="AC220" s="98" t="s">
        <v>267</v>
      </c>
      <c r="AD220" s="98" t="s">
        <v>13</v>
      </c>
      <c r="AE220" s="98" t="s">
        <v>15</v>
      </c>
      <c r="AF220" s="98" t="s">
        <v>16</v>
      </c>
      <c r="AH220" s="8"/>
    </row>
    <row r="221" customFormat="false" ht="15.75" hidden="false" customHeight="true" outlineLevel="0" collapsed="false">
      <c r="A221" s="61"/>
      <c r="B221" s="99"/>
      <c r="C221" s="100"/>
      <c r="D221" s="100"/>
      <c r="E221" s="100"/>
      <c r="F221" s="100"/>
      <c r="G221" s="100"/>
      <c r="H221" s="100"/>
      <c r="I221" s="100"/>
      <c r="J221" s="100"/>
      <c r="K221" s="100"/>
      <c r="L221" s="100"/>
      <c r="M221" s="100"/>
      <c r="N221" s="100"/>
      <c r="O221" s="83"/>
      <c r="P221" s="101"/>
      <c r="Q221" s="102"/>
      <c r="R221" s="103"/>
      <c r="S221" s="104"/>
      <c r="T221" s="104"/>
      <c r="U221" s="104"/>
      <c r="V221" s="105"/>
      <c r="W221" s="105"/>
      <c r="X221" s="105"/>
      <c r="Y221" s="105"/>
      <c r="Z221" s="105"/>
      <c r="AA221" s="105"/>
      <c r="AB221" s="105"/>
      <c r="AC221" s="105"/>
      <c r="AD221" s="105"/>
      <c r="AE221" s="105"/>
      <c r="AF221" s="105"/>
      <c r="AH221" s="8"/>
    </row>
    <row r="222" customFormat="false" ht="15.75" hidden="false" customHeight="true" outlineLevel="0" collapsed="false">
      <c r="A222" s="61"/>
      <c r="B222" s="99"/>
      <c r="C222" s="100"/>
      <c r="D222" s="100"/>
      <c r="E222" s="100"/>
      <c r="F222" s="100"/>
      <c r="G222" s="100"/>
      <c r="H222" s="100"/>
      <c r="I222" s="100"/>
      <c r="J222" s="100"/>
      <c r="K222" s="100"/>
      <c r="L222" s="100"/>
      <c r="M222" s="100"/>
      <c r="N222" s="100"/>
      <c r="O222" s="83"/>
      <c r="P222" s="101"/>
      <c r="Q222" s="106"/>
      <c r="R222" s="107"/>
      <c r="S222" s="105"/>
      <c r="T222" s="105"/>
      <c r="U222" s="105"/>
      <c r="V222" s="104"/>
      <c r="W222" s="105"/>
      <c r="X222" s="105"/>
      <c r="Y222" s="105"/>
      <c r="Z222" s="105"/>
      <c r="AA222" s="105"/>
      <c r="AB222" s="105"/>
      <c r="AC222" s="105"/>
      <c r="AD222" s="105"/>
      <c r="AE222" s="105"/>
      <c r="AF222" s="105"/>
      <c r="AH222" s="8"/>
    </row>
    <row r="223" customFormat="false" ht="15.75" hidden="false" customHeight="true" outlineLevel="0" collapsed="false">
      <c r="A223" s="61"/>
      <c r="B223" s="99"/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83"/>
      <c r="P223" s="101"/>
      <c r="Q223" s="106"/>
      <c r="R223" s="107"/>
      <c r="S223" s="105"/>
      <c r="T223" s="105"/>
      <c r="U223" s="105"/>
      <c r="V223" s="104"/>
      <c r="W223" s="105"/>
      <c r="X223" s="105"/>
      <c r="Y223" s="105"/>
      <c r="Z223" s="105"/>
      <c r="AA223" s="105"/>
      <c r="AB223" s="105"/>
      <c r="AC223" s="105"/>
      <c r="AD223" s="105"/>
      <c r="AE223" s="105"/>
      <c r="AF223" s="105"/>
      <c r="AH223" s="8"/>
    </row>
    <row r="224" customFormat="false" ht="15.75" hidden="false" customHeight="true" outlineLevel="0" collapsed="false">
      <c r="A224" s="61"/>
      <c r="B224" s="99"/>
      <c r="C224" s="100"/>
      <c r="D224" s="100"/>
      <c r="E224" s="100"/>
      <c r="F224" s="100"/>
      <c r="G224" s="100"/>
      <c r="H224" s="100"/>
      <c r="I224" s="100"/>
      <c r="J224" s="100"/>
      <c r="K224" s="100"/>
      <c r="L224" s="100"/>
      <c r="M224" s="100"/>
      <c r="N224" s="100"/>
      <c r="O224" s="83"/>
      <c r="P224" s="101"/>
      <c r="Q224" s="106"/>
      <c r="R224" s="107"/>
      <c r="S224" s="105"/>
      <c r="T224" s="105"/>
      <c r="U224" s="105"/>
      <c r="V224" s="104"/>
      <c r="W224" s="105"/>
      <c r="X224" s="105"/>
      <c r="Y224" s="105"/>
      <c r="Z224" s="105"/>
      <c r="AA224" s="105"/>
      <c r="AB224" s="105"/>
      <c r="AC224" s="105"/>
      <c r="AD224" s="105"/>
      <c r="AE224" s="105"/>
      <c r="AF224" s="105"/>
      <c r="AH224" s="8"/>
    </row>
    <row r="225" customFormat="false" ht="15.75" hidden="false" customHeight="true" outlineLevel="0" collapsed="false">
      <c r="A225" s="61"/>
      <c r="B225" s="99"/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83"/>
      <c r="P225" s="101"/>
      <c r="Q225" s="106"/>
      <c r="R225" s="107"/>
      <c r="S225" s="105"/>
      <c r="T225" s="105"/>
      <c r="U225" s="105"/>
      <c r="V225" s="104"/>
      <c r="W225" s="105"/>
      <c r="X225" s="105"/>
      <c r="Y225" s="105"/>
      <c r="Z225" s="105"/>
      <c r="AA225" s="105"/>
      <c r="AB225" s="105"/>
      <c r="AC225" s="105"/>
      <c r="AD225" s="105"/>
      <c r="AE225" s="105"/>
      <c r="AF225" s="105"/>
      <c r="AH225" s="8"/>
    </row>
    <row r="226" customFormat="false" ht="15.75" hidden="false" customHeight="true" outlineLevel="0" collapsed="false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S226" s="2"/>
      <c r="T226" s="2"/>
      <c r="U226" s="2"/>
      <c r="V226" s="2"/>
      <c r="W226" s="2"/>
      <c r="X226" s="2"/>
      <c r="Y226" s="2"/>
      <c r="Z226" s="90"/>
      <c r="AA226" s="2"/>
      <c r="AB226" s="2"/>
      <c r="AC226" s="2"/>
      <c r="AD226" s="2"/>
      <c r="AE226" s="2"/>
      <c r="AF226" s="2"/>
      <c r="AH226" s="8"/>
    </row>
    <row r="227" customFormat="false" ht="15.75" hidden="false" customHeight="true" outlineLevel="0" collapsed="false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S227" s="2"/>
      <c r="T227" s="2"/>
      <c r="U227" s="2"/>
      <c r="V227" s="2"/>
      <c r="W227" s="2"/>
      <c r="X227" s="2"/>
      <c r="Y227" s="2"/>
      <c r="Z227" s="90"/>
      <c r="AA227" s="2"/>
      <c r="AB227" s="2"/>
      <c r="AC227" s="2"/>
      <c r="AD227" s="2"/>
      <c r="AE227" s="2"/>
      <c r="AF227" s="2"/>
      <c r="AH227" s="8"/>
    </row>
    <row r="228" customFormat="false" ht="15.75" hidden="false" customHeight="true" outlineLevel="0" collapsed="false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S228" s="2"/>
      <c r="T228" s="2"/>
      <c r="U228" s="2"/>
      <c r="V228" s="2"/>
      <c r="W228" s="2"/>
      <c r="X228" s="2"/>
      <c r="Y228" s="2"/>
      <c r="Z228" s="90"/>
      <c r="AA228" s="2"/>
      <c r="AB228" s="2"/>
      <c r="AC228" s="2"/>
      <c r="AD228" s="2"/>
      <c r="AE228" s="2"/>
      <c r="AF228" s="2"/>
      <c r="AH228" s="8"/>
    </row>
    <row r="229" customFormat="false" ht="15.75" hidden="false" customHeight="true" outlineLevel="0" collapsed="false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S229" s="2"/>
      <c r="T229" s="2"/>
      <c r="U229" s="2"/>
      <c r="V229" s="2"/>
      <c r="W229" s="2"/>
      <c r="X229" s="2"/>
      <c r="Y229" s="2"/>
      <c r="Z229" s="90"/>
      <c r="AA229" s="2"/>
      <c r="AB229" s="2"/>
      <c r="AC229" s="2"/>
      <c r="AD229" s="2"/>
      <c r="AE229" s="2"/>
      <c r="AF229" s="2"/>
      <c r="AH229" s="8"/>
    </row>
    <row r="230" customFormat="false" ht="15.75" hidden="false" customHeight="true" outlineLevel="0" collapsed="false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S230" s="2"/>
      <c r="T230" s="2"/>
      <c r="U230" s="2"/>
      <c r="V230" s="2"/>
      <c r="W230" s="2"/>
      <c r="X230" s="2"/>
      <c r="Y230" s="2"/>
      <c r="Z230" s="90"/>
      <c r="AA230" s="2"/>
      <c r="AB230" s="2"/>
      <c r="AC230" s="2"/>
      <c r="AD230" s="2"/>
      <c r="AE230" s="2"/>
      <c r="AF230" s="2"/>
      <c r="AH230" s="8"/>
    </row>
    <row r="231" customFormat="false" ht="15.75" hidden="false" customHeight="true" outlineLevel="0" collapsed="false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108"/>
      <c r="S231" s="109"/>
      <c r="T231" s="109"/>
      <c r="U231" s="109"/>
      <c r="V231" s="109"/>
      <c r="W231" s="109"/>
      <c r="X231" s="109"/>
      <c r="Y231" s="109"/>
      <c r="Z231" s="109"/>
      <c r="AA231" s="109"/>
      <c r="AB231" s="109"/>
      <c r="AC231" s="109"/>
      <c r="AD231" s="109"/>
      <c r="AE231" s="109" t="n">
        <f aca="false">SUM(AE233:AE278)</f>
        <v>0</v>
      </c>
      <c r="AF231" s="109" t="n">
        <f aca="false">SUM(AF233:AF278)</f>
        <v>0</v>
      </c>
      <c r="AH231" s="8"/>
    </row>
    <row r="232" customFormat="false" ht="15.75" hidden="false" customHeight="true" outlineLevel="0" collapsed="false">
      <c r="A232" s="91" t="n">
        <v>2025</v>
      </c>
      <c r="B232" s="91" t="s">
        <v>261</v>
      </c>
      <c r="C232" s="92"/>
      <c r="D232" s="92"/>
      <c r="E232" s="92"/>
      <c r="F232" s="92"/>
      <c r="G232" s="92"/>
      <c r="H232" s="92"/>
      <c r="I232" s="92"/>
      <c r="J232" s="92"/>
      <c r="K232" s="93"/>
      <c r="L232" s="92"/>
      <c r="M232" s="92"/>
      <c r="N232" s="94" t="n">
        <v>2025</v>
      </c>
      <c r="O232" s="95" t="s">
        <v>262</v>
      </c>
      <c r="P232" s="96" t="n">
        <f aca="false">SUM(P233:P240)</f>
        <v>70948</v>
      </c>
      <c r="Q232" s="97" t="s">
        <v>263</v>
      </c>
      <c r="R232" s="98" t="s">
        <v>264</v>
      </c>
      <c r="S232" s="98" t="s">
        <v>7</v>
      </c>
      <c r="T232" s="98"/>
      <c r="U232" s="98"/>
      <c r="V232" s="98" t="s">
        <v>9</v>
      </c>
      <c r="W232" s="98" t="s">
        <v>265</v>
      </c>
      <c r="X232" s="98" t="s">
        <v>266</v>
      </c>
      <c r="Y232" s="98"/>
      <c r="Z232" s="98" t="s">
        <v>10</v>
      </c>
      <c r="AA232" s="98" t="s">
        <v>38</v>
      </c>
      <c r="AB232" s="98"/>
      <c r="AC232" s="98" t="s">
        <v>267</v>
      </c>
      <c r="AD232" s="98" t="s">
        <v>13</v>
      </c>
      <c r="AE232" s="98" t="s">
        <v>15</v>
      </c>
      <c r="AF232" s="98" t="s">
        <v>16</v>
      </c>
      <c r="AH232" s="8"/>
    </row>
    <row r="233" customFormat="false" ht="15.75" hidden="false" customHeight="true" outlineLevel="0" collapsed="false">
      <c r="A233" s="61" t="n">
        <v>45785</v>
      </c>
      <c r="B233" s="99" t="s">
        <v>268</v>
      </c>
      <c r="C233" s="100" t="s">
        <v>269</v>
      </c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83"/>
      <c r="P233" s="101" t="n">
        <v>4470</v>
      </c>
      <c r="Q233" s="102" t="s">
        <v>270</v>
      </c>
      <c r="R233" s="103" t="s">
        <v>271</v>
      </c>
      <c r="S233" s="104"/>
      <c r="T233" s="104"/>
      <c r="U233" s="104"/>
      <c r="V233" s="105"/>
      <c r="W233" s="105"/>
      <c r="X233" s="105"/>
      <c r="Y233" s="105"/>
      <c r="Z233" s="105"/>
      <c r="AA233" s="105"/>
      <c r="AB233" s="105"/>
      <c r="AC233" s="105"/>
      <c r="AD233" s="105" t="n">
        <v>4470</v>
      </c>
      <c r="AE233" s="105"/>
      <c r="AF233" s="105"/>
      <c r="AH233" s="8"/>
    </row>
    <row r="234" customFormat="false" ht="15.75" hidden="false" customHeight="true" outlineLevel="0" collapsed="false">
      <c r="A234" s="61" t="n">
        <v>45785</v>
      </c>
      <c r="B234" s="99" t="s">
        <v>272</v>
      </c>
      <c r="C234" s="100" t="s">
        <v>273</v>
      </c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83"/>
      <c r="P234" s="101" t="n">
        <v>13449</v>
      </c>
      <c r="Q234" s="106" t="s">
        <v>270</v>
      </c>
      <c r="R234" s="107" t="s">
        <v>274</v>
      </c>
      <c r="S234" s="105"/>
      <c r="T234" s="105"/>
      <c r="U234" s="105"/>
      <c r="V234" s="104"/>
      <c r="W234" s="105"/>
      <c r="X234" s="105"/>
      <c r="Y234" s="105"/>
      <c r="Z234" s="105"/>
      <c r="AA234" s="105"/>
      <c r="AB234" s="105"/>
      <c r="AC234" s="105"/>
      <c r="AD234" s="105" t="n">
        <v>13449</v>
      </c>
      <c r="AE234" s="105"/>
      <c r="AF234" s="105"/>
      <c r="AH234" s="8"/>
    </row>
    <row r="235" customFormat="false" ht="15.75" hidden="false" customHeight="true" outlineLevel="0" collapsed="false">
      <c r="A235" s="61" t="n">
        <v>45807</v>
      </c>
      <c r="B235" s="99" t="s">
        <v>275</v>
      </c>
      <c r="C235" s="100" t="s">
        <v>276</v>
      </c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83"/>
      <c r="P235" s="101" t="n">
        <v>10030</v>
      </c>
      <c r="Q235" s="106" t="s">
        <v>270</v>
      </c>
      <c r="R235" s="107" t="s">
        <v>274</v>
      </c>
      <c r="S235" s="105"/>
      <c r="T235" s="105"/>
      <c r="U235" s="105"/>
      <c r="V235" s="104"/>
      <c r="W235" s="105"/>
      <c r="X235" s="105" t="n">
        <v>10030</v>
      </c>
      <c r="Y235" s="105"/>
      <c r="Z235" s="105"/>
      <c r="AA235" s="105"/>
      <c r="AB235" s="105"/>
      <c r="AC235" s="105"/>
      <c r="AD235" s="105"/>
      <c r="AE235" s="105"/>
      <c r="AF235" s="105"/>
      <c r="AH235" s="8"/>
    </row>
    <row r="236" customFormat="false" ht="15.75" hidden="false" customHeight="true" outlineLevel="0" collapsed="false">
      <c r="A236" s="61" t="n">
        <v>45866</v>
      </c>
      <c r="B236" s="99" t="s">
        <v>277</v>
      </c>
      <c r="C236" s="100" t="s">
        <v>273</v>
      </c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83"/>
      <c r="P236" s="101" t="n">
        <v>2000</v>
      </c>
      <c r="Q236" s="106" t="s">
        <v>270</v>
      </c>
      <c r="R236" s="107" t="s">
        <v>278</v>
      </c>
      <c r="S236" s="105"/>
      <c r="T236" s="105"/>
      <c r="U236" s="105"/>
      <c r="V236" s="104"/>
      <c r="W236" s="105"/>
      <c r="X236" s="105"/>
      <c r="Y236" s="105"/>
      <c r="Z236" s="105"/>
      <c r="AA236" s="105" t="n">
        <v>2000</v>
      </c>
      <c r="AB236" s="105"/>
      <c r="AC236" s="105"/>
      <c r="AD236" s="105"/>
      <c r="AE236" s="105"/>
      <c r="AF236" s="105"/>
      <c r="AH236" s="8"/>
    </row>
    <row r="237" customFormat="false" ht="15.75" hidden="false" customHeight="true" outlineLevel="0" collapsed="false">
      <c r="A237" s="61" t="n">
        <v>45898</v>
      </c>
      <c r="B237" s="99" t="s">
        <v>279</v>
      </c>
      <c r="C237" s="100" t="s">
        <v>273</v>
      </c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83"/>
      <c r="P237" s="101" t="n">
        <v>13850</v>
      </c>
      <c r="Q237" s="106" t="s">
        <v>270</v>
      </c>
      <c r="R237" s="107" t="s">
        <v>280</v>
      </c>
      <c r="S237" s="105"/>
      <c r="T237" s="105"/>
      <c r="U237" s="105"/>
      <c r="V237" s="104" t="n">
        <v>13850</v>
      </c>
      <c r="W237" s="105"/>
      <c r="X237" s="105"/>
      <c r="Y237" s="105"/>
      <c r="Z237" s="105"/>
      <c r="AA237" s="105"/>
      <c r="AB237" s="105"/>
      <c r="AC237" s="105"/>
      <c r="AD237" s="105"/>
      <c r="AE237" s="105"/>
      <c r="AF237" s="105"/>
      <c r="AH237" s="8"/>
    </row>
    <row r="238" customFormat="false" ht="15.75" hidden="false" customHeight="true" outlineLevel="0" collapsed="false">
      <c r="A238" s="61" t="n">
        <v>45898</v>
      </c>
      <c r="B238" s="99" t="s">
        <v>281</v>
      </c>
      <c r="C238" s="100" t="s">
        <v>273</v>
      </c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83"/>
      <c r="P238" s="101" t="n">
        <v>12749</v>
      </c>
      <c r="Q238" s="106" t="s">
        <v>270</v>
      </c>
      <c r="R238" s="107" t="s">
        <v>280</v>
      </c>
      <c r="S238" s="105"/>
      <c r="T238" s="105"/>
      <c r="U238" s="105"/>
      <c r="V238" s="104" t="n">
        <v>12749</v>
      </c>
      <c r="W238" s="105"/>
      <c r="X238" s="105"/>
      <c r="Y238" s="105"/>
      <c r="Z238" s="105"/>
      <c r="AA238" s="105"/>
      <c r="AB238" s="105"/>
      <c r="AC238" s="105"/>
      <c r="AD238" s="105"/>
      <c r="AE238" s="105"/>
      <c r="AF238" s="105"/>
      <c r="AH238" s="8"/>
    </row>
    <row r="239" customFormat="false" ht="15.75" hidden="false" customHeight="true" outlineLevel="0" collapsed="false">
      <c r="A239" s="61" t="n">
        <v>46010</v>
      </c>
      <c r="B239" s="110" t="s">
        <v>282</v>
      </c>
      <c r="C239" s="100" t="s">
        <v>283</v>
      </c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83"/>
      <c r="P239" s="101" t="n">
        <v>6000</v>
      </c>
      <c r="Q239" s="106" t="s">
        <v>270</v>
      </c>
      <c r="R239" s="107" t="s">
        <v>284</v>
      </c>
      <c r="S239" s="105"/>
      <c r="T239" s="105"/>
      <c r="U239" s="105"/>
      <c r="V239" s="104" t="n">
        <v>6000</v>
      </c>
      <c r="W239" s="105"/>
      <c r="X239" s="105"/>
      <c r="Y239" s="105"/>
      <c r="Z239" s="105"/>
      <c r="AA239" s="105"/>
      <c r="AB239" s="105"/>
      <c r="AC239" s="105"/>
      <c r="AD239" s="105"/>
      <c r="AE239" s="105"/>
      <c r="AF239" s="105"/>
      <c r="AH239" s="8"/>
    </row>
    <row r="240" customFormat="false" ht="15.75" hidden="false" customHeight="true" outlineLevel="0" collapsed="false">
      <c r="A240" s="61" t="n">
        <v>46010</v>
      </c>
      <c r="B240" s="99" t="s">
        <v>285</v>
      </c>
      <c r="C240" s="100" t="s">
        <v>286</v>
      </c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83"/>
      <c r="P240" s="101" t="n">
        <v>8400</v>
      </c>
      <c r="Q240" s="102" t="s">
        <v>270</v>
      </c>
      <c r="R240" s="103" t="s">
        <v>287</v>
      </c>
      <c r="S240" s="105"/>
      <c r="T240" s="105"/>
      <c r="U240" s="105"/>
      <c r="V240" s="105" t="n">
        <v>8400</v>
      </c>
      <c r="W240" s="105"/>
      <c r="X240" s="105"/>
      <c r="Y240" s="105"/>
      <c r="Z240" s="105"/>
      <c r="AA240" s="104"/>
      <c r="AB240" s="104"/>
      <c r="AC240" s="104"/>
      <c r="AD240" s="105"/>
      <c r="AE240" s="105"/>
      <c r="AF240" s="105"/>
      <c r="AH240" s="8"/>
    </row>
    <row r="241" customFormat="false" ht="15.75" hidden="false" customHeight="true" outlineLevel="0" collapsed="false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S241" s="2"/>
      <c r="T241" s="2"/>
      <c r="U241" s="2"/>
      <c r="V241" s="2"/>
      <c r="W241" s="2"/>
      <c r="X241" s="2"/>
      <c r="Y241" s="2"/>
      <c r="Z241" s="90"/>
      <c r="AA241" s="2"/>
      <c r="AB241" s="2"/>
      <c r="AC241" s="2"/>
      <c r="AD241" s="2"/>
      <c r="AE241" s="2"/>
      <c r="AF241" s="2"/>
      <c r="AH241" s="8"/>
    </row>
    <row r="242" customFormat="false" ht="15.75" hidden="false" customHeight="true" outlineLevel="0" collapsed="false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S242" s="2"/>
      <c r="T242" s="2"/>
      <c r="U242" s="2"/>
      <c r="V242" s="2"/>
      <c r="W242" s="2"/>
      <c r="X242" s="2"/>
      <c r="Y242" s="2"/>
      <c r="Z242" s="90"/>
      <c r="AA242" s="2"/>
      <c r="AB242" s="2"/>
      <c r="AC242" s="2"/>
      <c r="AD242" s="2"/>
      <c r="AE242" s="2"/>
      <c r="AF242" s="2"/>
      <c r="AH242" s="8"/>
    </row>
    <row r="243" customFormat="false" ht="15.75" hidden="false" customHeight="true" outlineLevel="0" collapsed="false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S243" s="2"/>
      <c r="T243" s="2"/>
      <c r="U243" s="2"/>
      <c r="V243" s="2"/>
      <c r="W243" s="2"/>
      <c r="X243" s="2"/>
      <c r="Y243" s="2"/>
      <c r="Z243" s="90"/>
      <c r="AA243" s="2"/>
      <c r="AB243" s="2"/>
      <c r="AC243" s="2"/>
      <c r="AD243" s="2"/>
      <c r="AE243" s="2"/>
      <c r="AF243" s="2"/>
      <c r="AH243" s="8"/>
    </row>
    <row r="244" customFormat="false" ht="15.75" hidden="false" customHeight="true" outlineLevel="0" collapsed="false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S244" s="2"/>
      <c r="T244" s="2"/>
      <c r="U244" s="2"/>
      <c r="V244" s="2"/>
      <c r="W244" s="2"/>
      <c r="X244" s="2"/>
      <c r="Y244" s="2"/>
      <c r="Z244" s="90"/>
      <c r="AA244" s="2"/>
      <c r="AB244" s="2"/>
      <c r="AC244" s="2"/>
      <c r="AD244" s="2"/>
      <c r="AE244" s="2"/>
      <c r="AF244" s="2"/>
      <c r="AH244" s="8"/>
    </row>
    <row r="245" customFormat="false" ht="15.75" hidden="false" customHeight="true" outlineLevel="0" collapsed="false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S245" s="2"/>
      <c r="T245" s="2"/>
      <c r="U245" s="2"/>
      <c r="V245" s="2"/>
      <c r="W245" s="2"/>
      <c r="X245" s="2"/>
      <c r="Y245" s="2"/>
      <c r="Z245" s="90"/>
      <c r="AA245" s="2"/>
      <c r="AB245" s="2"/>
      <c r="AC245" s="2"/>
      <c r="AD245" s="2"/>
      <c r="AE245" s="2"/>
      <c r="AF245" s="2"/>
      <c r="AH245" s="8"/>
    </row>
    <row r="246" customFormat="false" ht="15" hidden="false" customHeight="true" outlineLevel="0" collapsed="false">
      <c r="A246" s="111" t="n">
        <v>2024</v>
      </c>
      <c r="B246" s="91" t="s">
        <v>261</v>
      </c>
      <c r="C246" s="92"/>
      <c r="D246" s="92"/>
      <c r="E246" s="92"/>
      <c r="F246" s="92"/>
      <c r="G246" s="92"/>
      <c r="H246" s="92"/>
      <c r="I246" s="92"/>
      <c r="J246" s="92"/>
      <c r="K246" s="93"/>
      <c r="L246" s="92"/>
      <c r="M246" s="92"/>
      <c r="N246" s="94" t="n">
        <v>2024</v>
      </c>
      <c r="O246" s="95" t="s">
        <v>262</v>
      </c>
      <c r="P246" s="96" t="n">
        <f aca="false">SUM(P247:P292)</f>
        <v>171112.67</v>
      </c>
      <c r="Q246" s="97" t="s">
        <v>263</v>
      </c>
      <c r="R246" s="98" t="s">
        <v>288</v>
      </c>
      <c r="S246" s="98" t="s">
        <v>7</v>
      </c>
      <c r="T246" s="98" t="s">
        <v>9</v>
      </c>
      <c r="U246" s="98"/>
      <c r="V246" s="98" t="s">
        <v>265</v>
      </c>
      <c r="W246" s="98" t="s">
        <v>266</v>
      </c>
      <c r="X246" s="98"/>
      <c r="Y246" s="98" t="s">
        <v>10</v>
      </c>
      <c r="Z246" s="98" t="s">
        <v>38</v>
      </c>
      <c r="AA246" s="98" t="s">
        <v>267</v>
      </c>
      <c r="AB246" s="98"/>
      <c r="AC246" s="98" t="s">
        <v>13</v>
      </c>
      <c r="AD246" s="98" t="s">
        <v>14</v>
      </c>
      <c r="AE246" s="98" t="s">
        <v>16</v>
      </c>
      <c r="AG246" s="8"/>
    </row>
    <row r="247" customFormat="false" ht="15" hidden="false" customHeight="true" outlineLevel="0" collapsed="false">
      <c r="A247" s="112" t="n">
        <v>45358</v>
      </c>
      <c r="B247" s="99" t="s">
        <v>289</v>
      </c>
      <c r="C247" s="100" t="s">
        <v>290</v>
      </c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83"/>
      <c r="P247" s="101" t="n">
        <v>600</v>
      </c>
      <c r="Q247" s="102" t="s">
        <v>291</v>
      </c>
      <c r="R247" s="103" t="s">
        <v>292</v>
      </c>
      <c r="S247" s="104" t="n">
        <v>600</v>
      </c>
      <c r="T247" s="105"/>
      <c r="U247" s="105"/>
      <c r="V247" s="105"/>
      <c r="W247" s="105"/>
      <c r="X247" s="105"/>
      <c r="Y247" s="105"/>
      <c r="Z247" s="105"/>
      <c r="AA247" s="105"/>
      <c r="AB247" s="105"/>
      <c r="AC247" s="105"/>
      <c r="AD247" s="105"/>
      <c r="AE247" s="105"/>
      <c r="AG247" s="8"/>
    </row>
    <row r="248" customFormat="false" ht="15" hidden="false" customHeight="true" outlineLevel="0" collapsed="false">
      <c r="A248" s="112" t="n">
        <v>45377</v>
      </c>
      <c r="B248" s="99" t="s">
        <v>293</v>
      </c>
      <c r="C248" s="100" t="s">
        <v>294</v>
      </c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  <c r="O248" s="83"/>
      <c r="P248" s="113" t="n">
        <v>2320</v>
      </c>
      <c r="Q248" s="114" t="s">
        <v>270</v>
      </c>
      <c r="R248" s="115" t="s">
        <v>295</v>
      </c>
      <c r="S248" s="105"/>
      <c r="T248" s="104" t="n">
        <v>2320</v>
      </c>
      <c r="U248" s="104"/>
      <c r="V248" s="105"/>
      <c r="W248" s="105"/>
      <c r="X248" s="105"/>
      <c r="Y248" s="105"/>
      <c r="Z248" s="105"/>
      <c r="AA248" s="105"/>
      <c r="AB248" s="105"/>
      <c r="AC248" s="105"/>
      <c r="AD248" s="105"/>
      <c r="AE248" s="105"/>
      <c r="AG248" s="8"/>
    </row>
    <row r="249" customFormat="false" ht="15" hidden="false" customHeight="true" outlineLevel="0" collapsed="false">
      <c r="A249" s="112" t="n">
        <v>45380</v>
      </c>
      <c r="B249" s="99" t="s">
        <v>296</v>
      </c>
      <c r="C249" s="100" t="s">
        <v>297</v>
      </c>
      <c r="D249" s="100"/>
      <c r="E249" s="100"/>
      <c r="F249" s="100"/>
      <c r="G249" s="100"/>
      <c r="H249" s="100"/>
      <c r="I249" s="100"/>
      <c r="J249" s="100"/>
      <c r="K249" s="100"/>
      <c r="L249" s="100"/>
      <c r="M249" s="100"/>
      <c r="N249" s="100"/>
      <c r="O249" s="83"/>
      <c r="P249" s="113" t="n">
        <v>3800</v>
      </c>
      <c r="Q249" s="114" t="s">
        <v>270</v>
      </c>
      <c r="R249" s="115" t="s">
        <v>295</v>
      </c>
      <c r="S249" s="105"/>
      <c r="T249" s="104" t="n">
        <v>3800</v>
      </c>
      <c r="U249" s="104"/>
      <c r="V249" s="105"/>
      <c r="W249" s="105"/>
      <c r="X249" s="105"/>
      <c r="Y249" s="105"/>
      <c r="Z249" s="105"/>
      <c r="AA249" s="105"/>
      <c r="AB249" s="105"/>
      <c r="AC249" s="105"/>
      <c r="AD249" s="105"/>
      <c r="AE249" s="105"/>
      <c r="AG249" s="8"/>
    </row>
    <row r="250" customFormat="false" ht="15" hidden="false" customHeight="true" outlineLevel="0" collapsed="false">
      <c r="A250" s="112" t="n">
        <v>45380</v>
      </c>
      <c r="B250" s="99" t="s">
        <v>298</v>
      </c>
      <c r="C250" s="100" t="s">
        <v>297</v>
      </c>
      <c r="D250" s="100"/>
      <c r="E250" s="100"/>
      <c r="F250" s="100"/>
      <c r="G250" s="100"/>
      <c r="H250" s="100"/>
      <c r="I250" s="100"/>
      <c r="J250" s="100"/>
      <c r="K250" s="100"/>
      <c r="L250" s="100"/>
      <c r="M250" s="100"/>
      <c r="N250" s="100"/>
      <c r="O250" s="83"/>
      <c r="P250" s="113" t="n">
        <v>1500</v>
      </c>
      <c r="Q250" s="114" t="s">
        <v>270</v>
      </c>
      <c r="R250" s="115" t="s">
        <v>295</v>
      </c>
      <c r="S250" s="105"/>
      <c r="T250" s="104" t="n">
        <v>1500</v>
      </c>
      <c r="U250" s="104"/>
      <c r="V250" s="105"/>
      <c r="W250" s="105"/>
      <c r="X250" s="105"/>
      <c r="Y250" s="105"/>
      <c r="Z250" s="105"/>
      <c r="AA250" s="105"/>
      <c r="AB250" s="105"/>
      <c r="AC250" s="105"/>
      <c r="AD250" s="105"/>
      <c r="AE250" s="105"/>
      <c r="AG250" s="8"/>
    </row>
    <row r="251" customFormat="false" ht="15" hidden="false" customHeight="true" outlineLevel="0" collapsed="false">
      <c r="A251" s="112" t="n">
        <v>45380</v>
      </c>
      <c r="B251" s="99" t="s">
        <v>299</v>
      </c>
      <c r="C251" s="100" t="s">
        <v>297</v>
      </c>
      <c r="D251" s="100"/>
      <c r="E251" s="100"/>
      <c r="F251" s="100"/>
      <c r="G251" s="100"/>
      <c r="H251" s="100"/>
      <c r="I251" s="100"/>
      <c r="J251" s="100"/>
      <c r="K251" s="100"/>
      <c r="L251" s="100"/>
      <c r="M251" s="100"/>
      <c r="N251" s="100"/>
      <c r="O251" s="83"/>
      <c r="P251" s="113" t="n">
        <v>9550</v>
      </c>
      <c r="Q251" s="114" t="s">
        <v>270</v>
      </c>
      <c r="R251" s="115" t="s">
        <v>295</v>
      </c>
      <c r="S251" s="105"/>
      <c r="T251" s="104" t="n">
        <v>9550</v>
      </c>
      <c r="U251" s="104"/>
      <c r="V251" s="105"/>
      <c r="W251" s="105"/>
      <c r="X251" s="105"/>
      <c r="Y251" s="105"/>
      <c r="Z251" s="105"/>
      <c r="AA251" s="105"/>
      <c r="AB251" s="105"/>
      <c r="AC251" s="105"/>
      <c r="AD251" s="105"/>
      <c r="AE251" s="105"/>
      <c r="AG251" s="8"/>
    </row>
    <row r="252" customFormat="false" ht="15" hidden="false" customHeight="true" outlineLevel="0" collapsed="false">
      <c r="A252" s="112" t="n">
        <v>45380</v>
      </c>
      <c r="B252" s="99" t="s">
        <v>300</v>
      </c>
      <c r="C252" s="100" t="s">
        <v>294</v>
      </c>
      <c r="D252" s="100"/>
      <c r="E252" s="100"/>
      <c r="F252" s="100"/>
      <c r="G252" s="100"/>
      <c r="H252" s="100"/>
      <c r="I252" s="100"/>
      <c r="J252" s="100"/>
      <c r="K252" s="100"/>
      <c r="L252" s="100"/>
      <c r="M252" s="100"/>
      <c r="N252" s="100"/>
      <c r="O252" s="83"/>
      <c r="P252" s="113" t="n">
        <v>3690</v>
      </c>
      <c r="Q252" s="114" t="s">
        <v>270</v>
      </c>
      <c r="R252" s="115" t="s">
        <v>295</v>
      </c>
      <c r="S252" s="105"/>
      <c r="T252" s="104" t="n">
        <v>3690</v>
      </c>
      <c r="U252" s="104"/>
      <c r="V252" s="105"/>
      <c r="W252" s="105"/>
      <c r="X252" s="105"/>
      <c r="Y252" s="105"/>
      <c r="Z252" s="105"/>
      <c r="AA252" s="105"/>
      <c r="AB252" s="105"/>
      <c r="AC252" s="105"/>
      <c r="AD252" s="105"/>
      <c r="AE252" s="105"/>
      <c r="AG252" s="8"/>
    </row>
    <row r="253" customFormat="false" ht="15" hidden="false" customHeight="true" outlineLevel="0" collapsed="false">
      <c r="A253" s="112" t="n">
        <v>45398</v>
      </c>
      <c r="B253" s="110" t="s">
        <v>301</v>
      </c>
      <c r="C253" s="100" t="s">
        <v>302</v>
      </c>
      <c r="D253" s="100"/>
      <c r="E253" s="100"/>
      <c r="F253" s="100"/>
      <c r="G253" s="100"/>
      <c r="H253" s="100"/>
      <c r="I253" s="100"/>
      <c r="J253" s="100"/>
      <c r="K253" s="100"/>
      <c r="L253" s="100"/>
      <c r="M253" s="100"/>
      <c r="N253" s="100"/>
      <c r="O253" s="83"/>
      <c r="P253" s="113" t="n">
        <v>3040</v>
      </c>
      <c r="Q253" s="114" t="s">
        <v>270</v>
      </c>
      <c r="R253" s="115" t="s">
        <v>295</v>
      </c>
      <c r="S253" s="105"/>
      <c r="T253" s="104" t="n">
        <v>3040</v>
      </c>
      <c r="U253" s="104"/>
      <c r="V253" s="105"/>
      <c r="W253" s="105"/>
      <c r="X253" s="105"/>
      <c r="Y253" s="105"/>
      <c r="Z253" s="105"/>
      <c r="AA253" s="105"/>
      <c r="AB253" s="105"/>
      <c r="AC253" s="105"/>
      <c r="AD253" s="105"/>
      <c r="AE253" s="105"/>
      <c r="AG253" s="8"/>
    </row>
    <row r="254" customFormat="false" ht="15" hidden="false" customHeight="true" outlineLevel="0" collapsed="false">
      <c r="A254" s="112" t="n">
        <v>45398</v>
      </c>
      <c r="B254" s="99" t="s">
        <v>303</v>
      </c>
      <c r="C254" s="100" t="s">
        <v>304</v>
      </c>
      <c r="D254" s="100"/>
      <c r="E254" s="100"/>
      <c r="F254" s="100"/>
      <c r="G254" s="100"/>
      <c r="H254" s="100"/>
      <c r="I254" s="100"/>
      <c r="J254" s="100"/>
      <c r="K254" s="100"/>
      <c r="L254" s="100"/>
      <c r="M254" s="100"/>
      <c r="N254" s="100"/>
      <c r="O254" s="83"/>
      <c r="P254" s="101" t="n">
        <v>1016</v>
      </c>
      <c r="Q254" s="102" t="s">
        <v>270</v>
      </c>
      <c r="R254" s="103" t="s">
        <v>305</v>
      </c>
      <c r="S254" s="105"/>
      <c r="T254" s="105"/>
      <c r="U254" s="105"/>
      <c r="V254" s="105"/>
      <c r="W254" s="105"/>
      <c r="X254" s="105"/>
      <c r="Y254" s="105"/>
      <c r="Z254" s="104" t="n">
        <v>1016</v>
      </c>
      <c r="AA254" s="104"/>
      <c r="AB254" s="104"/>
      <c r="AC254" s="105"/>
      <c r="AD254" s="105"/>
      <c r="AE254" s="105"/>
      <c r="AG254" s="8"/>
    </row>
    <row r="255" customFormat="false" ht="15" hidden="false" customHeight="true" outlineLevel="0" collapsed="false">
      <c r="A255" s="112" t="n">
        <v>45398</v>
      </c>
      <c r="B255" s="99" t="s">
        <v>306</v>
      </c>
      <c r="C255" s="100" t="s">
        <v>304</v>
      </c>
      <c r="D255" s="100"/>
      <c r="E255" s="100"/>
      <c r="F255" s="100"/>
      <c r="G255" s="100"/>
      <c r="H255" s="100"/>
      <c r="I255" s="100"/>
      <c r="J255" s="100"/>
      <c r="K255" s="100"/>
      <c r="L255" s="100"/>
      <c r="M255" s="100"/>
      <c r="N255" s="100"/>
      <c r="O255" s="83"/>
      <c r="P255" s="101" t="n">
        <v>560</v>
      </c>
      <c r="Q255" s="102" t="s">
        <v>270</v>
      </c>
      <c r="R255" s="103" t="s">
        <v>307</v>
      </c>
      <c r="S255" s="105"/>
      <c r="T255" s="105"/>
      <c r="U255" s="105"/>
      <c r="V255" s="105"/>
      <c r="W255" s="105"/>
      <c r="X255" s="105"/>
      <c r="Y255" s="105"/>
      <c r="Z255" s="104" t="n">
        <v>560</v>
      </c>
      <c r="AA255" s="104"/>
      <c r="AB255" s="104"/>
      <c r="AC255" s="105"/>
      <c r="AD255" s="105"/>
      <c r="AE255" s="105"/>
      <c r="AG255" s="8"/>
    </row>
    <row r="256" customFormat="false" ht="15" hidden="false" customHeight="true" outlineLevel="0" collapsed="false">
      <c r="A256" s="112" t="n">
        <v>45398</v>
      </c>
      <c r="B256" s="99" t="s">
        <v>308</v>
      </c>
      <c r="C256" s="100" t="s">
        <v>309</v>
      </c>
      <c r="D256" s="100"/>
      <c r="E256" s="100"/>
      <c r="F256" s="100"/>
      <c r="G256" s="100"/>
      <c r="H256" s="100"/>
      <c r="I256" s="100"/>
      <c r="J256" s="100"/>
      <c r="K256" s="100"/>
      <c r="L256" s="100"/>
      <c r="M256" s="100"/>
      <c r="N256" s="100"/>
      <c r="O256" s="83"/>
      <c r="P256" s="101" t="n">
        <v>4725</v>
      </c>
      <c r="Q256" s="102" t="s">
        <v>270</v>
      </c>
      <c r="R256" s="103" t="s">
        <v>307</v>
      </c>
      <c r="S256" s="105"/>
      <c r="T256" s="104" t="n">
        <v>4725</v>
      </c>
      <c r="U256" s="104"/>
      <c r="V256" s="105"/>
      <c r="W256" s="105"/>
      <c r="X256" s="105"/>
      <c r="Y256" s="105"/>
      <c r="Z256" s="105"/>
      <c r="AA256" s="105"/>
      <c r="AB256" s="105"/>
      <c r="AC256" s="105"/>
      <c r="AD256" s="105"/>
      <c r="AE256" s="105"/>
      <c r="AG256" s="8"/>
    </row>
    <row r="257" customFormat="false" ht="15" hidden="false" customHeight="true" outlineLevel="0" collapsed="false">
      <c r="A257" s="112" t="n">
        <v>45399</v>
      </c>
      <c r="B257" s="99" t="s">
        <v>310</v>
      </c>
      <c r="C257" s="100" t="s">
        <v>311</v>
      </c>
      <c r="D257" s="100"/>
      <c r="E257" s="100"/>
      <c r="F257" s="100"/>
      <c r="G257" s="100"/>
      <c r="H257" s="100"/>
      <c r="I257" s="100"/>
      <c r="J257" s="100"/>
      <c r="K257" s="100"/>
      <c r="L257" s="100"/>
      <c r="M257" s="100"/>
      <c r="N257" s="100"/>
      <c r="O257" s="83"/>
      <c r="P257" s="101" t="n">
        <v>530</v>
      </c>
      <c r="Q257" s="102" t="s">
        <v>312</v>
      </c>
      <c r="R257" s="103" t="s">
        <v>307</v>
      </c>
      <c r="S257" s="105"/>
      <c r="T257" s="104" t="n">
        <v>530</v>
      </c>
      <c r="U257" s="104"/>
      <c r="V257" s="105"/>
      <c r="W257" s="105"/>
      <c r="X257" s="105"/>
      <c r="Y257" s="105"/>
      <c r="Z257" s="105"/>
      <c r="AA257" s="105"/>
      <c r="AB257" s="105"/>
      <c r="AC257" s="105"/>
      <c r="AD257" s="105"/>
      <c r="AE257" s="105"/>
      <c r="AG257" s="8"/>
    </row>
    <row r="258" customFormat="false" ht="15" hidden="false" customHeight="true" outlineLevel="0" collapsed="false">
      <c r="A258" s="112" t="n">
        <v>45393</v>
      </c>
      <c r="B258" s="99" t="s">
        <v>313</v>
      </c>
      <c r="C258" s="100" t="s">
        <v>314</v>
      </c>
      <c r="D258" s="100"/>
      <c r="E258" s="100"/>
      <c r="F258" s="100"/>
      <c r="G258" s="100"/>
      <c r="H258" s="100"/>
      <c r="I258" s="100"/>
      <c r="J258" s="100"/>
      <c r="K258" s="100"/>
      <c r="L258" s="100"/>
      <c r="M258" s="100"/>
      <c r="N258" s="100"/>
      <c r="O258" s="83"/>
      <c r="P258" s="101" t="n">
        <v>2040</v>
      </c>
      <c r="Q258" s="102" t="s">
        <v>312</v>
      </c>
      <c r="R258" s="103" t="s">
        <v>292</v>
      </c>
      <c r="S258" s="105"/>
      <c r="T258" s="104" t="n">
        <v>2040</v>
      </c>
      <c r="U258" s="104"/>
      <c r="V258" s="105"/>
      <c r="W258" s="105"/>
      <c r="X258" s="105"/>
      <c r="Y258" s="105"/>
      <c r="Z258" s="105"/>
      <c r="AA258" s="105"/>
      <c r="AB258" s="105"/>
      <c r="AC258" s="105"/>
      <c r="AD258" s="105"/>
      <c r="AE258" s="105"/>
      <c r="AG258" s="8"/>
    </row>
    <row r="259" customFormat="false" ht="15" hidden="false" customHeight="true" outlineLevel="0" collapsed="false">
      <c r="A259" s="112" t="n">
        <v>45421</v>
      </c>
      <c r="B259" s="99" t="s">
        <v>315</v>
      </c>
      <c r="C259" s="100" t="s">
        <v>297</v>
      </c>
      <c r="D259" s="100"/>
      <c r="E259" s="100"/>
      <c r="F259" s="100"/>
      <c r="G259" s="100"/>
      <c r="H259" s="100"/>
      <c r="I259" s="100"/>
      <c r="J259" s="100"/>
      <c r="K259" s="100"/>
      <c r="L259" s="100"/>
      <c r="M259" s="100"/>
      <c r="N259" s="100"/>
      <c r="O259" s="83"/>
      <c r="P259" s="101" t="n">
        <v>1400</v>
      </c>
      <c r="Q259" s="102" t="s">
        <v>270</v>
      </c>
      <c r="R259" s="103" t="s">
        <v>316</v>
      </c>
      <c r="S259" s="105"/>
      <c r="T259" s="105"/>
      <c r="U259" s="105"/>
      <c r="V259" s="105"/>
      <c r="W259" s="105"/>
      <c r="X259" s="105"/>
      <c r="Y259" s="105"/>
      <c r="Z259" s="104" t="n">
        <v>1400</v>
      </c>
      <c r="AA259" s="104"/>
      <c r="AB259" s="104"/>
      <c r="AC259" s="105"/>
      <c r="AD259" s="105"/>
      <c r="AE259" s="105"/>
      <c r="AG259" s="8"/>
    </row>
    <row r="260" customFormat="false" ht="15" hidden="false" customHeight="true" outlineLevel="0" collapsed="false">
      <c r="A260" s="112" t="n">
        <v>45422</v>
      </c>
      <c r="B260" s="99" t="s">
        <v>317</v>
      </c>
      <c r="C260" s="100" t="s">
        <v>318</v>
      </c>
      <c r="D260" s="100"/>
      <c r="E260" s="100"/>
      <c r="F260" s="100"/>
      <c r="G260" s="100"/>
      <c r="H260" s="100"/>
      <c r="I260" s="100"/>
      <c r="J260" s="100"/>
      <c r="K260" s="100"/>
      <c r="L260" s="100"/>
      <c r="M260" s="100"/>
      <c r="N260" s="100"/>
      <c r="O260" s="83"/>
      <c r="P260" s="113" t="n">
        <v>250</v>
      </c>
      <c r="Q260" s="114" t="s">
        <v>270</v>
      </c>
      <c r="R260" s="115" t="s">
        <v>295</v>
      </c>
      <c r="S260" s="105"/>
      <c r="T260" s="105"/>
      <c r="U260" s="105"/>
      <c r="V260" s="105"/>
      <c r="W260" s="105"/>
      <c r="X260" s="105"/>
      <c r="Y260" s="105"/>
      <c r="Z260" s="105"/>
      <c r="AA260" s="105"/>
      <c r="AB260" s="105"/>
      <c r="AC260" s="104" t="n">
        <v>250</v>
      </c>
      <c r="AD260" s="105"/>
      <c r="AE260" s="105"/>
      <c r="AG260" s="8"/>
    </row>
    <row r="261" customFormat="false" ht="15" hidden="false" customHeight="true" outlineLevel="0" collapsed="false">
      <c r="A261" s="112" t="n">
        <v>45425</v>
      </c>
      <c r="B261" s="99" t="s">
        <v>319</v>
      </c>
      <c r="C261" s="100" t="s">
        <v>320</v>
      </c>
      <c r="D261" s="100"/>
      <c r="E261" s="100"/>
      <c r="F261" s="100"/>
      <c r="G261" s="100"/>
      <c r="H261" s="100"/>
      <c r="I261" s="100"/>
      <c r="J261" s="100"/>
      <c r="K261" s="100"/>
      <c r="L261" s="100"/>
      <c r="M261" s="100"/>
      <c r="N261" s="100"/>
      <c r="O261" s="83"/>
      <c r="P261" s="101" t="n">
        <v>1800</v>
      </c>
      <c r="Q261" s="102" t="s">
        <v>291</v>
      </c>
      <c r="R261" s="103" t="s">
        <v>321</v>
      </c>
      <c r="S261" s="105"/>
      <c r="T261" s="105"/>
      <c r="U261" s="105"/>
      <c r="V261" s="105"/>
      <c r="W261" s="105"/>
      <c r="X261" s="105"/>
      <c r="Y261" s="105"/>
      <c r="Z261" s="105"/>
      <c r="AA261" s="105"/>
      <c r="AB261" s="105"/>
      <c r="AC261" s="104" t="n">
        <v>1800</v>
      </c>
      <c r="AD261" s="105"/>
      <c r="AE261" s="105"/>
      <c r="AG261" s="8"/>
    </row>
    <row r="262" customFormat="false" ht="15" hidden="false" customHeight="true" outlineLevel="0" collapsed="false">
      <c r="A262" s="112" t="n">
        <v>45426</v>
      </c>
      <c r="B262" s="99" t="s">
        <v>322</v>
      </c>
      <c r="C262" s="100" t="s">
        <v>323</v>
      </c>
      <c r="D262" s="100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  <c r="O262" s="83"/>
      <c r="P262" s="101" t="n">
        <v>1700</v>
      </c>
      <c r="Q262" s="102" t="s">
        <v>291</v>
      </c>
      <c r="R262" s="103" t="s">
        <v>307</v>
      </c>
      <c r="S262" s="105"/>
      <c r="T262" s="104" t="n">
        <v>1700</v>
      </c>
      <c r="U262" s="104"/>
      <c r="V262" s="105"/>
      <c r="W262" s="105"/>
      <c r="X262" s="105"/>
      <c r="Y262" s="105"/>
      <c r="Z262" s="105"/>
      <c r="AA262" s="105"/>
      <c r="AB262" s="105"/>
      <c r="AC262" s="105"/>
      <c r="AD262" s="105"/>
      <c r="AE262" s="105"/>
      <c r="AG262" s="8"/>
    </row>
    <row r="263" customFormat="false" ht="15" hidden="false" customHeight="true" outlineLevel="0" collapsed="false">
      <c r="A263" s="112" t="n">
        <v>45436</v>
      </c>
      <c r="B263" s="99" t="s">
        <v>324</v>
      </c>
      <c r="C263" s="100" t="s">
        <v>325</v>
      </c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83"/>
      <c r="P263" s="101" t="n">
        <v>1440</v>
      </c>
      <c r="Q263" s="102" t="s">
        <v>270</v>
      </c>
      <c r="R263" s="103" t="s">
        <v>292</v>
      </c>
      <c r="S263" s="105"/>
      <c r="T263" s="105"/>
      <c r="U263" s="105"/>
      <c r="V263" s="105"/>
      <c r="W263" s="105"/>
      <c r="X263" s="105"/>
      <c r="Y263" s="105"/>
      <c r="Z263" s="104" t="n">
        <v>1440</v>
      </c>
      <c r="AA263" s="104"/>
      <c r="AB263" s="104"/>
      <c r="AC263" s="105"/>
      <c r="AD263" s="105"/>
      <c r="AE263" s="105"/>
      <c r="AG263" s="8"/>
    </row>
    <row r="264" customFormat="false" ht="15" hidden="false" customHeight="true" outlineLevel="0" collapsed="false">
      <c r="A264" s="112" t="n">
        <v>45456</v>
      </c>
      <c r="B264" s="99" t="s">
        <v>326</v>
      </c>
      <c r="C264" s="100" t="s">
        <v>327</v>
      </c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83"/>
      <c r="P264" s="101" t="n">
        <v>102</v>
      </c>
      <c r="Q264" s="102" t="s">
        <v>312</v>
      </c>
      <c r="R264" s="103" t="s">
        <v>321</v>
      </c>
      <c r="S264" s="105"/>
      <c r="T264" s="105"/>
      <c r="U264" s="105"/>
      <c r="V264" s="105"/>
      <c r="W264" s="104" t="n">
        <v>102</v>
      </c>
      <c r="X264" s="104"/>
      <c r="Y264" s="105"/>
      <c r="Z264" s="105"/>
      <c r="AA264" s="105"/>
      <c r="AB264" s="105"/>
      <c r="AC264" s="105"/>
      <c r="AD264" s="105"/>
      <c r="AE264" s="105"/>
      <c r="AG264" s="8"/>
    </row>
    <row r="265" customFormat="false" ht="15" hidden="false" customHeight="true" outlineLevel="0" collapsed="false">
      <c r="A265" s="112" t="n">
        <v>45461</v>
      </c>
      <c r="B265" s="99" t="s">
        <v>328</v>
      </c>
      <c r="C265" s="100" t="s">
        <v>329</v>
      </c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83"/>
      <c r="P265" s="101" t="n">
        <v>280</v>
      </c>
      <c r="Q265" s="102" t="s">
        <v>312</v>
      </c>
      <c r="R265" s="103" t="s">
        <v>321</v>
      </c>
      <c r="S265" s="105"/>
      <c r="T265" s="105"/>
      <c r="U265" s="105"/>
      <c r="V265" s="105"/>
      <c r="W265" s="105"/>
      <c r="X265" s="105"/>
      <c r="Y265" s="105"/>
      <c r="Z265" s="104" t="n">
        <v>280</v>
      </c>
      <c r="AA265" s="104"/>
      <c r="AB265" s="104"/>
      <c r="AC265" s="105"/>
      <c r="AD265" s="105"/>
      <c r="AE265" s="105"/>
      <c r="AG265" s="8"/>
    </row>
    <row r="266" customFormat="false" ht="15" hidden="false" customHeight="true" outlineLevel="0" collapsed="false">
      <c r="A266" s="112" t="n">
        <v>45468</v>
      </c>
      <c r="B266" s="99" t="s">
        <v>330</v>
      </c>
      <c r="C266" s="100" t="s">
        <v>331</v>
      </c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83"/>
      <c r="P266" s="101" t="n">
        <v>4200</v>
      </c>
      <c r="Q266" s="102" t="s">
        <v>270</v>
      </c>
      <c r="R266" s="103" t="s">
        <v>316</v>
      </c>
      <c r="S266" s="105"/>
      <c r="T266" s="105"/>
      <c r="U266" s="105"/>
      <c r="V266" s="105"/>
      <c r="W266" s="105"/>
      <c r="X266" s="105"/>
      <c r="Y266" s="105"/>
      <c r="Z266" s="104" t="n">
        <v>4200</v>
      </c>
      <c r="AA266" s="104"/>
      <c r="AB266" s="104"/>
      <c r="AC266" s="105"/>
      <c r="AD266" s="105"/>
      <c r="AE266" s="105"/>
      <c r="AG266" s="8"/>
    </row>
    <row r="267" customFormat="false" ht="15" hidden="false" customHeight="true" outlineLevel="0" collapsed="false">
      <c r="A267" s="112" t="n">
        <v>45468</v>
      </c>
      <c r="B267" s="99" t="s">
        <v>332</v>
      </c>
      <c r="C267" s="100" t="s">
        <v>333</v>
      </c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83"/>
      <c r="P267" s="101" t="n">
        <v>5650</v>
      </c>
      <c r="Q267" s="102" t="s">
        <v>312</v>
      </c>
      <c r="R267" s="103" t="s">
        <v>316</v>
      </c>
      <c r="S267" s="105"/>
      <c r="T267" s="104" t="n">
        <v>3650</v>
      </c>
      <c r="U267" s="104"/>
      <c r="V267" s="105"/>
      <c r="W267" s="105"/>
      <c r="X267" s="105"/>
      <c r="Y267" s="105"/>
      <c r="Z267" s="104" t="n">
        <v>2000</v>
      </c>
      <c r="AA267" s="104"/>
      <c r="AB267" s="104"/>
      <c r="AC267" s="105"/>
      <c r="AD267" s="105"/>
      <c r="AE267" s="105"/>
      <c r="AG267" s="8"/>
    </row>
    <row r="268" customFormat="false" ht="15" hidden="false" customHeight="true" outlineLevel="0" collapsed="false">
      <c r="A268" s="112" t="n">
        <v>45496</v>
      </c>
      <c r="B268" s="99" t="s">
        <v>334</v>
      </c>
      <c r="C268" s="100" t="s">
        <v>304</v>
      </c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83"/>
      <c r="P268" s="101" t="n">
        <v>3000</v>
      </c>
      <c r="Q268" s="102" t="s">
        <v>270</v>
      </c>
      <c r="R268" s="103" t="s">
        <v>307</v>
      </c>
      <c r="S268" s="105"/>
      <c r="T268" s="104"/>
      <c r="U268" s="104"/>
      <c r="V268" s="105"/>
      <c r="W268" s="105"/>
      <c r="X268" s="105"/>
      <c r="Y268" s="105"/>
      <c r="Z268" s="104" t="n">
        <v>3000</v>
      </c>
      <c r="AA268" s="104"/>
      <c r="AB268" s="104"/>
      <c r="AC268" s="105"/>
      <c r="AD268" s="105"/>
      <c r="AE268" s="105"/>
      <c r="AG268" s="8"/>
    </row>
    <row r="269" customFormat="false" ht="15" hidden="false" customHeight="true" outlineLevel="0" collapsed="false">
      <c r="A269" s="112" t="n">
        <v>45496</v>
      </c>
      <c r="B269" s="99" t="s">
        <v>335</v>
      </c>
      <c r="C269" s="100" t="s">
        <v>336</v>
      </c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83"/>
      <c r="P269" s="101" t="n">
        <v>6160</v>
      </c>
      <c r="Q269" s="102" t="s">
        <v>270</v>
      </c>
      <c r="R269" s="103" t="s">
        <v>307</v>
      </c>
      <c r="S269" s="105"/>
      <c r="T269" s="104" t="n">
        <v>6160</v>
      </c>
      <c r="U269" s="104"/>
      <c r="V269" s="105"/>
      <c r="W269" s="105"/>
      <c r="X269" s="105"/>
      <c r="Y269" s="105"/>
      <c r="Z269" s="104"/>
      <c r="AA269" s="104"/>
      <c r="AB269" s="104"/>
      <c r="AC269" s="105"/>
      <c r="AD269" s="105"/>
      <c r="AE269" s="105"/>
      <c r="AG269" s="8"/>
    </row>
    <row r="270" customFormat="false" ht="15" hidden="false" customHeight="true" outlineLevel="0" collapsed="false">
      <c r="A270" s="112" t="n">
        <v>45496</v>
      </c>
      <c r="B270" s="99" t="s">
        <v>337</v>
      </c>
      <c r="C270" s="100" t="s">
        <v>336</v>
      </c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83"/>
      <c r="P270" s="101" t="n">
        <v>9680</v>
      </c>
      <c r="Q270" s="102" t="s">
        <v>270</v>
      </c>
      <c r="R270" s="102" t="s">
        <v>321</v>
      </c>
      <c r="S270" s="105"/>
      <c r="T270" s="105"/>
      <c r="U270" s="105"/>
      <c r="V270" s="105"/>
      <c r="W270" s="104" t="n">
        <v>3000</v>
      </c>
      <c r="X270" s="104"/>
      <c r="Y270" s="104"/>
      <c r="Z270" s="104" t="n">
        <v>1200</v>
      </c>
      <c r="AA270" s="104"/>
      <c r="AB270" s="104"/>
      <c r="AC270" s="104" t="n">
        <v>5480</v>
      </c>
      <c r="AD270" s="105"/>
      <c r="AE270" s="105"/>
      <c r="AG270" s="8"/>
    </row>
    <row r="271" customFormat="false" ht="15" hidden="false" customHeight="true" outlineLevel="0" collapsed="false">
      <c r="A271" s="116" t="n">
        <v>45504</v>
      </c>
      <c r="B271" s="99" t="s">
        <v>338</v>
      </c>
      <c r="C271" s="100" t="s">
        <v>304</v>
      </c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83"/>
      <c r="P271" s="101" t="n">
        <v>9000</v>
      </c>
      <c r="Q271" s="102" t="s">
        <v>270</v>
      </c>
      <c r="R271" s="102" t="s">
        <v>321</v>
      </c>
      <c r="S271" s="105"/>
      <c r="T271" s="104" t="n">
        <v>3000</v>
      </c>
      <c r="U271" s="104"/>
      <c r="V271" s="104"/>
      <c r="W271" s="104"/>
      <c r="X271" s="104"/>
      <c r="Y271" s="104"/>
      <c r="Z271" s="104" t="n">
        <v>3000</v>
      </c>
      <c r="AA271" s="104"/>
      <c r="AB271" s="104"/>
      <c r="AC271" s="104" t="n">
        <v>3000</v>
      </c>
      <c r="AD271" s="105"/>
      <c r="AE271" s="105"/>
      <c r="AG271" s="8"/>
    </row>
    <row r="272" customFormat="false" ht="15" hidden="false" customHeight="true" outlineLevel="0" collapsed="false">
      <c r="A272" s="116" t="n">
        <v>45520</v>
      </c>
      <c r="B272" s="99" t="s">
        <v>339</v>
      </c>
      <c r="C272" s="100" t="s">
        <v>340</v>
      </c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83"/>
      <c r="P272" s="101" t="n">
        <v>5100</v>
      </c>
      <c r="Q272" s="102" t="s">
        <v>270</v>
      </c>
      <c r="R272" s="102" t="s">
        <v>341</v>
      </c>
      <c r="S272" s="105"/>
      <c r="T272" s="104" t="n">
        <v>5100</v>
      </c>
      <c r="U272" s="104"/>
      <c r="V272" s="104"/>
      <c r="W272" s="104"/>
      <c r="X272" s="104"/>
      <c r="Y272" s="104"/>
      <c r="Z272" s="104"/>
      <c r="AA272" s="104"/>
      <c r="AB272" s="104"/>
      <c r="AC272" s="104"/>
      <c r="AD272" s="105"/>
      <c r="AE272" s="105"/>
      <c r="AG272" s="8"/>
    </row>
    <row r="273" customFormat="false" ht="15" hidden="false" customHeight="true" outlineLevel="0" collapsed="false">
      <c r="A273" s="116" t="n">
        <v>45524</v>
      </c>
      <c r="B273" s="99" t="s">
        <v>342</v>
      </c>
      <c r="C273" s="100" t="s">
        <v>336</v>
      </c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N273" s="100"/>
      <c r="O273" s="83"/>
      <c r="P273" s="101" t="n">
        <v>11000</v>
      </c>
      <c r="Q273" s="102" t="s">
        <v>270</v>
      </c>
      <c r="R273" s="102" t="s">
        <v>341</v>
      </c>
      <c r="S273" s="105"/>
      <c r="T273" s="104" t="n">
        <v>11000</v>
      </c>
      <c r="U273" s="104"/>
      <c r="V273" s="104"/>
      <c r="W273" s="104"/>
      <c r="X273" s="104"/>
      <c r="Y273" s="104"/>
      <c r="Z273" s="104"/>
      <c r="AA273" s="104"/>
      <c r="AB273" s="104"/>
      <c r="AC273" s="104"/>
      <c r="AD273" s="105"/>
      <c r="AE273" s="105"/>
      <c r="AG273" s="8"/>
    </row>
    <row r="274" customFormat="false" ht="15" hidden="false" customHeight="true" outlineLevel="0" collapsed="false">
      <c r="A274" s="116" t="n">
        <v>45524</v>
      </c>
      <c r="B274" s="99" t="s">
        <v>343</v>
      </c>
      <c r="C274" s="100" t="s">
        <v>336</v>
      </c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83"/>
      <c r="P274" s="101" t="n">
        <v>7800</v>
      </c>
      <c r="Q274" s="102" t="s">
        <v>270</v>
      </c>
      <c r="R274" s="102" t="s">
        <v>341</v>
      </c>
      <c r="S274" s="105"/>
      <c r="T274" s="104" t="n">
        <v>7800</v>
      </c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5"/>
      <c r="AE274" s="105"/>
      <c r="AG274" s="8"/>
    </row>
    <row r="275" customFormat="false" ht="15" hidden="false" customHeight="true" outlineLevel="0" collapsed="false">
      <c r="A275" s="116" t="n">
        <v>45520</v>
      </c>
      <c r="B275" s="99" t="s">
        <v>344</v>
      </c>
      <c r="C275" s="100" t="s">
        <v>345</v>
      </c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83"/>
      <c r="P275" s="101" t="n">
        <v>600</v>
      </c>
      <c r="Q275" s="102" t="s">
        <v>346</v>
      </c>
      <c r="R275" s="102" t="s">
        <v>341</v>
      </c>
      <c r="S275" s="105" t="n">
        <v>600</v>
      </c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 t="n">
        <v>15300</v>
      </c>
      <c r="AD275" s="105"/>
      <c r="AE275" s="105"/>
      <c r="AG275" s="8"/>
    </row>
    <row r="276" customFormat="false" ht="15" hidden="false" customHeight="true" outlineLevel="0" collapsed="false">
      <c r="A276" s="116" t="n">
        <v>45534</v>
      </c>
      <c r="B276" s="99" t="s">
        <v>347</v>
      </c>
      <c r="C276" s="100" t="s">
        <v>336</v>
      </c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83"/>
      <c r="P276" s="101" t="n">
        <v>15300</v>
      </c>
      <c r="Q276" s="102" t="s">
        <v>270</v>
      </c>
      <c r="R276" s="102" t="s">
        <v>341</v>
      </c>
      <c r="S276" s="105"/>
      <c r="T276" s="104"/>
      <c r="U276" s="104"/>
      <c r="V276" s="104"/>
      <c r="W276" s="104"/>
      <c r="X276" s="104"/>
      <c r="Y276" s="104"/>
      <c r="Z276" s="104"/>
      <c r="AA276" s="104"/>
      <c r="AB276" s="104"/>
      <c r="AC276" s="104"/>
      <c r="AD276" s="105"/>
      <c r="AE276" s="105"/>
      <c r="AG276" s="8"/>
    </row>
    <row r="277" customFormat="false" ht="15" hidden="false" customHeight="true" outlineLevel="0" collapsed="false">
      <c r="A277" s="116" t="n">
        <v>45534</v>
      </c>
      <c r="B277" s="99" t="s">
        <v>348</v>
      </c>
      <c r="C277" s="100" t="s">
        <v>304</v>
      </c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83"/>
      <c r="P277" s="101" t="n">
        <v>1000</v>
      </c>
      <c r="Q277" s="102" t="s">
        <v>346</v>
      </c>
      <c r="R277" s="102" t="s">
        <v>321</v>
      </c>
      <c r="S277" s="105"/>
      <c r="T277" s="104"/>
      <c r="U277" s="104"/>
      <c r="V277" s="104"/>
      <c r="W277" s="104"/>
      <c r="X277" s="104"/>
      <c r="Y277" s="104"/>
      <c r="Z277" s="104"/>
      <c r="AA277" s="104"/>
      <c r="AB277" s="104"/>
      <c r="AC277" s="104" t="n">
        <v>1000</v>
      </c>
      <c r="AD277" s="105"/>
      <c r="AE277" s="105"/>
      <c r="AG277" s="8"/>
    </row>
    <row r="278" customFormat="false" ht="15" hidden="false" customHeight="true" outlineLevel="0" collapsed="false">
      <c r="A278" s="116" t="n">
        <v>45590</v>
      </c>
      <c r="B278" s="99" t="s">
        <v>349</v>
      </c>
      <c r="C278" s="100" t="s">
        <v>350</v>
      </c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83"/>
      <c r="P278" s="101" t="n">
        <v>2603</v>
      </c>
      <c r="Q278" s="102" t="s">
        <v>270</v>
      </c>
      <c r="R278" s="102" t="s">
        <v>351</v>
      </c>
      <c r="S278" s="105"/>
      <c r="T278" s="104" t="n">
        <v>2603</v>
      </c>
      <c r="U278" s="104"/>
      <c r="V278" s="104"/>
      <c r="W278" s="104"/>
      <c r="X278" s="104"/>
      <c r="Y278" s="104"/>
      <c r="Z278" s="104"/>
      <c r="AA278" s="104"/>
      <c r="AB278" s="104"/>
      <c r="AC278" s="104"/>
      <c r="AD278" s="105"/>
      <c r="AE278" s="105"/>
      <c r="AG278" s="8"/>
    </row>
    <row r="279" customFormat="false" ht="15" hidden="false" customHeight="true" outlineLevel="0" collapsed="false">
      <c r="A279" s="116" t="n">
        <v>45593</v>
      </c>
      <c r="B279" s="99" t="s">
        <v>352</v>
      </c>
      <c r="C279" s="100" t="s">
        <v>353</v>
      </c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83"/>
      <c r="P279" s="101" t="n">
        <v>3650</v>
      </c>
      <c r="Q279" s="102" t="s">
        <v>270</v>
      </c>
      <c r="R279" s="102" t="s">
        <v>351</v>
      </c>
      <c r="S279" s="105"/>
      <c r="T279" s="104"/>
      <c r="U279" s="104"/>
      <c r="V279" s="104"/>
      <c r="W279" s="104"/>
      <c r="X279" s="104"/>
      <c r="Y279" s="104"/>
      <c r="Z279" s="104"/>
      <c r="AA279" s="104"/>
      <c r="AB279" s="104"/>
      <c r="AC279" s="104" t="n">
        <v>3650</v>
      </c>
      <c r="AD279" s="105"/>
      <c r="AE279" s="105"/>
      <c r="AG279" s="8"/>
    </row>
    <row r="280" customFormat="false" ht="15" hidden="false" customHeight="true" outlineLevel="0" collapsed="false">
      <c r="A280" s="116" t="n">
        <v>45594</v>
      </c>
      <c r="B280" s="99" t="s">
        <v>289</v>
      </c>
      <c r="C280" s="100" t="s">
        <v>354</v>
      </c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83"/>
      <c r="P280" s="101" t="n">
        <v>3000</v>
      </c>
      <c r="Q280" s="102" t="s">
        <v>346</v>
      </c>
      <c r="R280" s="102" t="s">
        <v>321</v>
      </c>
      <c r="S280" s="105"/>
      <c r="T280" s="104"/>
      <c r="U280" s="104"/>
      <c r="V280" s="104"/>
      <c r="W280" s="104"/>
      <c r="X280" s="104"/>
      <c r="Y280" s="104" t="n">
        <v>3000</v>
      </c>
      <c r="Z280" s="104"/>
      <c r="AA280" s="104"/>
      <c r="AB280" s="104"/>
      <c r="AC280" s="104"/>
      <c r="AD280" s="105"/>
      <c r="AE280" s="105"/>
      <c r="AG280" s="8"/>
    </row>
    <row r="281" customFormat="false" ht="15" hidden="false" customHeight="true" outlineLevel="0" collapsed="false">
      <c r="A281" s="116" t="n">
        <v>45595</v>
      </c>
      <c r="B281" s="99" t="s">
        <v>355</v>
      </c>
      <c r="C281" s="100" t="s">
        <v>356</v>
      </c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  <c r="O281" s="83"/>
      <c r="P281" s="101" t="n">
        <v>2500</v>
      </c>
      <c r="Q281" s="102" t="s">
        <v>270</v>
      </c>
      <c r="R281" s="102" t="s">
        <v>351</v>
      </c>
      <c r="S281" s="105"/>
      <c r="T281" s="104"/>
      <c r="U281" s="104"/>
      <c r="V281" s="104"/>
      <c r="W281" s="104"/>
      <c r="X281" s="104"/>
      <c r="Y281" s="104"/>
      <c r="Z281" s="104"/>
      <c r="AA281" s="104"/>
      <c r="AB281" s="104"/>
      <c r="AC281" s="104" t="n">
        <v>2500</v>
      </c>
      <c r="AD281" s="105"/>
      <c r="AE281" s="105"/>
      <c r="AG281" s="8"/>
    </row>
    <row r="282" customFormat="false" ht="15" hidden="false" customHeight="true" outlineLevel="0" collapsed="false">
      <c r="A282" s="116" t="n">
        <v>45607</v>
      </c>
      <c r="B282" s="99" t="s">
        <v>357</v>
      </c>
      <c r="C282" s="100" t="s">
        <v>358</v>
      </c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83"/>
      <c r="P282" s="101" t="n">
        <v>1566.67</v>
      </c>
      <c r="Q282" s="102" t="s">
        <v>270</v>
      </c>
      <c r="R282" s="102" t="s">
        <v>359</v>
      </c>
      <c r="S282" s="105"/>
      <c r="T282" s="104"/>
      <c r="U282" s="104"/>
      <c r="V282" s="104"/>
      <c r="W282" s="104"/>
      <c r="X282" s="104"/>
      <c r="Y282" s="104"/>
      <c r="Z282" s="104"/>
      <c r="AA282" s="104"/>
      <c r="AB282" s="104"/>
      <c r="AC282" s="104" t="n">
        <v>1566.67</v>
      </c>
      <c r="AD282" s="105"/>
      <c r="AE282" s="105"/>
      <c r="AG282" s="8"/>
    </row>
    <row r="283" customFormat="false" ht="15" hidden="false" customHeight="true" outlineLevel="0" collapsed="false">
      <c r="A283" s="116" t="n">
        <v>45618</v>
      </c>
      <c r="B283" s="99" t="s">
        <v>360</v>
      </c>
      <c r="C283" s="100" t="s">
        <v>361</v>
      </c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83"/>
      <c r="P283" s="101" t="n">
        <v>3110</v>
      </c>
      <c r="Q283" s="102" t="s">
        <v>270</v>
      </c>
      <c r="R283" s="102" t="s">
        <v>351</v>
      </c>
      <c r="S283" s="105"/>
      <c r="T283" s="104"/>
      <c r="U283" s="104"/>
      <c r="V283" s="104"/>
      <c r="W283" s="104" t="n">
        <v>2450</v>
      </c>
      <c r="X283" s="104"/>
      <c r="Y283" s="104"/>
      <c r="Z283" s="104"/>
      <c r="AA283" s="104"/>
      <c r="AB283" s="104"/>
      <c r="AC283" s="104" t="n">
        <v>660</v>
      </c>
      <c r="AD283" s="105"/>
      <c r="AE283" s="105"/>
      <c r="AG283" s="8"/>
    </row>
    <row r="284" customFormat="false" ht="15" hidden="false" customHeight="true" outlineLevel="0" collapsed="false">
      <c r="A284" s="116" t="n">
        <v>45615</v>
      </c>
      <c r="B284" s="99" t="s">
        <v>362</v>
      </c>
      <c r="C284" s="100" t="s">
        <v>363</v>
      </c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  <c r="O284" s="83"/>
      <c r="P284" s="101" t="n">
        <v>7200</v>
      </c>
      <c r="Q284" s="102" t="s">
        <v>270</v>
      </c>
      <c r="R284" s="102" t="s">
        <v>364</v>
      </c>
      <c r="S284" s="105"/>
      <c r="T284" s="104"/>
      <c r="U284" s="104"/>
      <c r="V284" s="104"/>
      <c r="W284" s="104"/>
      <c r="X284" s="104"/>
      <c r="Y284" s="104"/>
      <c r="Z284" s="104"/>
      <c r="AA284" s="104" t="n">
        <v>7200</v>
      </c>
      <c r="AB284" s="104"/>
      <c r="AC284" s="104"/>
      <c r="AD284" s="105"/>
      <c r="AE284" s="105"/>
      <c r="AG284" s="8"/>
    </row>
    <row r="285" customFormat="false" ht="15" hidden="false" customHeight="true" outlineLevel="0" collapsed="false">
      <c r="A285" s="116" t="n">
        <v>45624</v>
      </c>
      <c r="B285" s="99" t="s">
        <v>365</v>
      </c>
      <c r="C285" s="100" t="s">
        <v>366</v>
      </c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83"/>
      <c r="P285" s="101" t="n">
        <v>4550</v>
      </c>
      <c r="Q285" s="102" t="s">
        <v>270</v>
      </c>
      <c r="R285" s="102" t="s">
        <v>321</v>
      </c>
      <c r="S285" s="105"/>
      <c r="T285" s="104"/>
      <c r="U285" s="104"/>
      <c r="V285" s="104"/>
      <c r="W285" s="104"/>
      <c r="X285" s="104"/>
      <c r="Y285" s="104"/>
      <c r="Z285" s="104" t="n">
        <v>1200</v>
      </c>
      <c r="AA285" s="104"/>
      <c r="AB285" s="104"/>
      <c r="AC285" s="104" t="n">
        <v>3350</v>
      </c>
      <c r="AD285" s="105"/>
      <c r="AE285" s="105"/>
      <c r="AG285" s="8"/>
    </row>
    <row r="286" customFormat="false" ht="15" hidden="false" customHeight="true" outlineLevel="0" collapsed="false">
      <c r="A286" s="116" t="n">
        <v>45636</v>
      </c>
      <c r="B286" s="99" t="s">
        <v>367</v>
      </c>
      <c r="C286" s="100" t="s">
        <v>368</v>
      </c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  <c r="O286" s="83"/>
      <c r="P286" s="101" t="n">
        <v>3400</v>
      </c>
      <c r="Q286" s="102" t="s">
        <v>270</v>
      </c>
      <c r="R286" s="102" t="s">
        <v>351</v>
      </c>
      <c r="S286" s="105"/>
      <c r="T286" s="104" t="n">
        <v>3400</v>
      </c>
      <c r="U286" s="104"/>
      <c r="V286" s="104"/>
      <c r="W286" s="104"/>
      <c r="X286" s="104"/>
      <c r="Y286" s="104"/>
      <c r="Z286" s="104"/>
      <c r="AA286" s="104"/>
      <c r="AB286" s="104"/>
      <c r="AC286" s="104"/>
      <c r="AD286" s="105"/>
      <c r="AE286" s="105"/>
      <c r="AG286" s="8"/>
    </row>
    <row r="287" customFormat="false" ht="15" hidden="false" customHeight="true" outlineLevel="0" collapsed="false">
      <c r="A287" s="116" t="n">
        <v>45636</v>
      </c>
      <c r="B287" s="99" t="s">
        <v>369</v>
      </c>
      <c r="C287" s="100" t="s">
        <v>368</v>
      </c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  <c r="O287" s="83"/>
      <c r="P287" s="101" t="n">
        <v>500</v>
      </c>
      <c r="Q287" s="102" t="s">
        <v>270</v>
      </c>
      <c r="R287" s="102" t="s">
        <v>359</v>
      </c>
      <c r="S287" s="105"/>
      <c r="T287" s="104" t="n">
        <v>500</v>
      </c>
      <c r="U287" s="104"/>
      <c r="V287" s="104"/>
      <c r="W287" s="104"/>
      <c r="X287" s="104"/>
      <c r="Y287" s="104"/>
      <c r="Z287" s="104"/>
      <c r="AA287" s="104"/>
      <c r="AB287" s="104"/>
      <c r="AC287" s="104"/>
      <c r="AD287" s="105"/>
      <c r="AE287" s="105"/>
      <c r="AG287" s="8"/>
    </row>
    <row r="288" customFormat="false" ht="15" hidden="false" customHeight="true" outlineLevel="0" collapsed="false">
      <c r="A288" s="116" t="n">
        <v>45688</v>
      </c>
      <c r="B288" s="99" t="s">
        <v>370</v>
      </c>
      <c r="C288" s="100" t="s">
        <v>336</v>
      </c>
      <c r="D288" s="100"/>
      <c r="E288" s="100"/>
      <c r="F288" s="100"/>
      <c r="G288" s="100"/>
      <c r="H288" s="100"/>
      <c r="I288" s="100"/>
      <c r="J288" s="100"/>
      <c r="K288" s="100"/>
      <c r="L288" s="100"/>
      <c r="M288" s="100"/>
      <c r="N288" s="100"/>
      <c r="O288" s="83"/>
      <c r="P288" s="101" t="n">
        <v>6000</v>
      </c>
      <c r="Q288" s="102" t="s">
        <v>270</v>
      </c>
      <c r="R288" s="102" t="s">
        <v>364</v>
      </c>
      <c r="S288" s="105"/>
      <c r="T288" s="104"/>
      <c r="U288" s="104"/>
      <c r="V288" s="104"/>
      <c r="W288" s="104"/>
      <c r="X288" s="104"/>
      <c r="Y288" s="104"/>
      <c r="Z288" s="104" t="n">
        <v>1800</v>
      </c>
      <c r="AA288" s="104"/>
      <c r="AB288" s="104"/>
      <c r="AC288" s="104" t="n">
        <v>4200</v>
      </c>
      <c r="AD288" s="105"/>
      <c r="AE288" s="105"/>
      <c r="AG288" s="8"/>
    </row>
    <row r="289" customFormat="false" ht="15" hidden="false" customHeight="true" outlineLevel="0" collapsed="false">
      <c r="A289" s="116" t="n">
        <v>45688</v>
      </c>
      <c r="B289" s="99" t="s">
        <v>371</v>
      </c>
      <c r="C289" s="100" t="s">
        <v>372</v>
      </c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83"/>
      <c r="P289" s="101" t="n">
        <v>4700</v>
      </c>
      <c r="Q289" s="102" t="s">
        <v>270</v>
      </c>
      <c r="R289" s="102" t="s">
        <v>373</v>
      </c>
      <c r="S289" s="105"/>
      <c r="T289" s="104" t="n">
        <v>900</v>
      </c>
      <c r="U289" s="104"/>
      <c r="V289" s="104"/>
      <c r="W289" s="104"/>
      <c r="X289" s="104"/>
      <c r="Y289" s="104"/>
      <c r="Z289" s="104"/>
      <c r="AA289" s="104"/>
      <c r="AB289" s="104"/>
      <c r="AC289" s="104" t="n">
        <v>3800</v>
      </c>
      <c r="AD289" s="105"/>
      <c r="AE289" s="105"/>
      <c r="AG289" s="8"/>
    </row>
    <row r="290" customFormat="false" ht="15" hidden="false" customHeight="true" outlineLevel="0" collapsed="false">
      <c r="A290" s="116" t="n">
        <v>45688</v>
      </c>
      <c r="B290" s="99" t="s">
        <v>374</v>
      </c>
      <c r="C290" s="100" t="s">
        <v>304</v>
      </c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83"/>
      <c r="P290" s="101" t="n">
        <v>2000</v>
      </c>
      <c r="Q290" s="102" t="s">
        <v>270</v>
      </c>
      <c r="R290" s="102" t="s">
        <v>316</v>
      </c>
      <c r="S290" s="105"/>
      <c r="T290" s="104" t="n">
        <v>2000</v>
      </c>
      <c r="U290" s="104"/>
      <c r="V290" s="104"/>
      <c r="W290" s="104"/>
      <c r="X290" s="104"/>
      <c r="Y290" s="104"/>
      <c r="Z290" s="104"/>
      <c r="AA290" s="104"/>
      <c r="AB290" s="104"/>
      <c r="AC290" s="104"/>
      <c r="AD290" s="105"/>
      <c r="AE290" s="105"/>
      <c r="AG290" s="8"/>
    </row>
    <row r="291" customFormat="false" ht="15" hidden="false" customHeight="true" outlineLevel="0" collapsed="false">
      <c r="A291" s="116" t="n">
        <v>45688</v>
      </c>
      <c r="B291" s="99" t="s">
        <v>375</v>
      </c>
      <c r="C291" s="100" t="s">
        <v>376</v>
      </c>
      <c r="D291" s="100"/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  <c r="O291" s="83"/>
      <c r="P291" s="101" t="n">
        <v>7500</v>
      </c>
      <c r="Q291" s="102" t="s">
        <v>270</v>
      </c>
      <c r="R291" s="102" t="s">
        <v>316</v>
      </c>
      <c r="S291" s="105"/>
      <c r="T291" s="102" t="n">
        <v>7500</v>
      </c>
      <c r="U291" s="102"/>
      <c r="V291" s="104"/>
      <c r="W291" s="104"/>
      <c r="X291" s="104"/>
      <c r="Y291" s="104"/>
      <c r="Z291" s="104"/>
      <c r="AA291" s="104"/>
      <c r="AB291" s="104"/>
      <c r="AC291" s="104"/>
      <c r="AD291" s="105"/>
      <c r="AE291" s="105"/>
      <c r="AG291" s="8"/>
    </row>
    <row r="292" customFormat="false" ht="15" hidden="false" customHeight="true" outlineLevel="0" collapsed="false">
      <c r="A292" s="116"/>
      <c r="B292" s="99"/>
      <c r="C292" s="100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117"/>
      <c r="P292" s="117"/>
      <c r="Q292" s="117"/>
      <c r="R292" s="105"/>
      <c r="S292" s="105"/>
      <c r="T292" s="105"/>
      <c r="U292" s="105"/>
      <c r="V292" s="104"/>
      <c r="W292" s="104"/>
      <c r="X292" s="104"/>
      <c r="Y292" s="104"/>
      <c r="Z292" s="104"/>
      <c r="AA292" s="104"/>
      <c r="AB292" s="104"/>
      <c r="AC292" s="104"/>
      <c r="AD292" s="105"/>
      <c r="AE292" s="105"/>
      <c r="AG292" s="8"/>
    </row>
    <row r="293" customFormat="false" ht="14.25" hidden="false" customHeight="true" outlineLevel="0" collapsed="false">
      <c r="A293" s="2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G293" s="8"/>
    </row>
    <row r="294" customFormat="false" ht="14.25" hidden="false" customHeight="true" outlineLevel="0" collapsed="false">
      <c r="A294" s="2"/>
      <c r="B294" s="1" t="s">
        <v>44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14"/>
      <c r="S294" s="118"/>
      <c r="T294" s="118"/>
      <c r="U294" s="118"/>
      <c r="V294" s="118"/>
      <c r="W294" s="118"/>
      <c r="X294" s="118"/>
      <c r="Y294" s="118"/>
      <c r="Z294" s="118"/>
      <c r="AA294" s="118"/>
      <c r="AB294" s="118"/>
      <c r="AC294" s="118"/>
      <c r="AD294" s="118"/>
      <c r="AE294" s="118"/>
      <c r="AG294" s="8"/>
    </row>
    <row r="295" customFormat="false" ht="14.25" hidden="false" customHeight="true" outlineLevel="0" collapsed="false">
      <c r="A295" s="2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14"/>
      <c r="Q295" s="108"/>
      <c r="R295" s="119" t="n">
        <f aca="false">SUM(S295:AD295)</f>
        <v>152934</v>
      </c>
      <c r="S295" s="120" t="n">
        <f aca="false">SUM(S297:S337)</f>
        <v>0</v>
      </c>
      <c r="T295" s="120" t="n">
        <f aca="false">SUM(T297:T337)</f>
        <v>105107.5</v>
      </c>
      <c r="U295" s="120"/>
      <c r="V295" s="120" t="n">
        <f aca="false">SUM(V297:V337)</f>
        <v>400</v>
      </c>
      <c r="W295" s="120" t="n">
        <f aca="false">SUM(W297:W337)</f>
        <v>6962.5</v>
      </c>
      <c r="X295" s="120"/>
      <c r="Y295" s="120" t="n">
        <f aca="false">SUM(Y297:Y337)</f>
        <v>25550</v>
      </c>
      <c r="Z295" s="120" t="n">
        <f aca="false">SUM(Z297:Z337)</f>
        <v>7064</v>
      </c>
      <c r="AA295" s="120"/>
      <c r="AB295" s="120"/>
      <c r="AC295" s="120" t="n">
        <f aca="false">SUM(AC297:AC337)</f>
        <v>7850</v>
      </c>
      <c r="AD295" s="120" t="n">
        <f aca="false">SUM(AD297:AD337)</f>
        <v>0</v>
      </c>
      <c r="AE295" s="120" t="n">
        <f aca="false">SUM(AE297:AE337)</f>
        <v>0</v>
      </c>
      <c r="AG295" s="8"/>
    </row>
    <row r="296" customFormat="false" ht="15.75" hidden="false" customHeight="true" outlineLevel="0" collapsed="false">
      <c r="A296" s="111" t="n">
        <v>2023</v>
      </c>
      <c r="B296" s="91" t="s">
        <v>261</v>
      </c>
      <c r="C296" s="92"/>
      <c r="D296" s="92"/>
      <c r="E296" s="92"/>
      <c r="F296" s="92"/>
      <c r="G296" s="92"/>
      <c r="H296" s="92"/>
      <c r="I296" s="92"/>
      <c r="J296" s="92"/>
      <c r="K296" s="93"/>
      <c r="L296" s="92"/>
      <c r="M296" s="92"/>
      <c r="N296" s="94" t="n">
        <v>2023</v>
      </c>
      <c r="O296" s="121" t="s">
        <v>262</v>
      </c>
      <c r="P296" s="122" t="n">
        <f aca="false">SUM(P297:P337)</f>
        <v>152934</v>
      </c>
      <c r="Q296" s="98" t="s">
        <v>263</v>
      </c>
      <c r="R296" s="98" t="s">
        <v>288</v>
      </c>
      <c r="S296" s="98" t="s">
        <v>7</v>
      </c>
      <c r="T296" s="98" t="s">
        <v>9</v>
      </c>
      <c r="U296" s="98"/>
      <c r="V296" s="98" t="s">
        <v>265</v>
      </c>
      <c r="W296" s="98" t="s">
        <v>266</v>
      </c>
      <c r="X296" s="98"/>
      <c r="Y296" s="98" t="s">
        <v>10</v>
      </c>
      <c r="Z296" s="98" t="s">
        <v>38</v>
      </c>
      <c r="AA296" s="98" t="s">
        <v>267</v>
      </c>
      <c r="AB296" s="98"/>
      <c r="AC296" s="98" t="s">
        <v>13</v>
      </c>
      <c r="AD296" s="98" t="s">
        <v>14</v>
      </c>
      <c r="AE296" s="98" t="s">
        <v>16</v>
      </c>
      <c r="AG296" s="8"/>
    </row>
    <row r="297" customFormat="false" ht="15.75" hidden="false" customHeight="true" outlineLevel="0" collapsed="false">
      <c r="A297" s="112" t="n">
        <v>45302</v>
      </c>
      <c r="B297" s="123" t="s">
        <v>377</v>
      </c>
      <c r="C297" s="100" t="s">
        <v>378</v>
      </c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105"/>
      <c r="P297" s="124" t="n">
        <v>14450</v>
      </c>
      <c r="Q297" s="100" t="s">
        <v>270</v>
      </c>
      <c r="R297" s="100" t="s">
        <v>379</v>
      </c>
      <c r="S297" s="105"/>
      <c r="T297" s="104" t="n">
        <v>9350</v>
      </c>
      <c r="U297" s="104"/>
      <c r="V297" s="104" t="n">
        <v>100</v>
      </c>
      <c r="W297" s="105"/>
      <c r="X297" s="105"/>
      <c r="Y297" s="104" t="n">
        <v>5000</v>
      </c>
      <c r="Z297" s="105"/>
      <c r="AA297" s="105"/>
      <c r="AB297" s="105"/>
      <c r="AC297" s="105"/>
      <c r="AD297" s="105"/>
      <c r="AE297" s="105"/>
      <c r="AG297" s="8"/>
    </row>
    <row r="298" customFormat="false" ht="15.75" hidden="false" customHeight="true" outlineLevel="0" collapsed="false">
      <c r="A298" s="112" t="n">
        <v>45302</v>
      </c>
      <c r="B298" s="123" t="s">
        <v>380</v>
      </c>
      <c r="C298" s="100" t="s">
        <v>381</v>
      </c>
      <c r="D298" s="100"/>
      <c r="E298" s="100"/>
      <c r="F298" s="100"/>
      <c r="G298" s="100"/>
      <c r="H298" s="100"/>
      <c r="I298" s="100"/>
      <c r="J298" s="100"/>
      <c r="K298" s="100"/>
      <c r="L298" s="100"/>
      <c r="M298" s="100"/>
      <c r="N298" s="100"/>
      <c r="O298" s="105"/>
      <c r="P298" s="124" t="n">
        <v>1225</v>
      </c>
      <c r="Q298" s="100" t="s">
        <v>270</v>
      </c>
      <c r="R298" s="100" t="s">
        <v>379</v>
      </c>
      <c r="S298" s="105"/>
      <c r="T298" s="104" t="n">
        <v>1225</v>
      </c>
      <c r="U298" s="104"/>
      <c r="V298" s="105"/>
      <c r="W298" s="105"/>
      <c r="X298" s="105"/>
      <c r="Y298" s="105"/>
      <c r="Z298" s="105"/>
      <c r="AA298" s="105"/>
      <c r="AB298" s="105"/>
      <c r="AC298" s="105"/>
      <c r="AD298" s="105"/>
      <c r="AE298" s="105"/>
      <c r="AG298" s="8"/>
    </row>
    <row r="299" customFormat="false" ht="15.75" hidden="false" customHeight="true" outlineLevel="0" collapsed="false">
      <c r="A299" s="112" t="n">
        <v>45302</v>
      </c>
      <c r="B299" s="123" t="s">
        <v>382</v>
      </c>
      <c r="C299" s="100" t="s">
        <v>383</v>
      </c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100"/>
      <c r="O299" s="117"/>
      <c r="P299" s="124" t="n">
        <v>9250</v>
      </c>
      <c r="Q299" s="100" t="s">
        <v>270</v>
      </c>
      <c r="R299" s="100" t="s">
        <v>384</v>
      </c>
      <c r="S299" s="105"/>
      <c r="T299" s="104" t="n">
        <v>9150</v>
      </c>
      <c r="U299" s="104"/>
      <c r="V299" s="104" t="n">
        <v>100</v>
      </c>
      <c r="W299" s="105"/>
      <c r="X299" s="105"/>
      <c r="Y299" s="105"/>
      <c r="Z299" s="105"/>
      <c r="AA299" s="105"/>
      <c r="AB299" s="105"/>
      <c r="AC299" s="105"/>
      <c r="AD299" s="105"/>
      <c r="AE299" s="105"/>
      <c r="AG299" s="8"/>
    </row>
    <row r="300" customFormat="false" ht="15.75" hidden="false" customHeight="true" outlineLevel="0" collapsed="false">
      <c r="A300" s="112" t="n">
        <v>45302</v>
      </c>
      <c r="B300" s="123" t="s">
        <v>385</v>
      </c>
      <c r="C300" s="100" t="s">
        <v>383</v>
      </c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17"/>
      <c r="P300" s="124" t="n">
        <v>7500</v>
      </c>
      <c r="Q300" s="100" t="s">
        <v>270</v>
      </c>
      <c r="R300" s="100" t="s">
        <v>386</v>
      </c>
      <c r="S300" s="105"/>
      <c r="T300" s="104" t="n">
        <v>7400</v>
      </c>
      <c r="U300" s="104"/>
      <c r="V300" s="104" t="n">
        <v>100</v>
      </c>
      <c r="W300" s="105"/>
      <c r="X300" s="105"/>
      <c r="Y300" s="105"/>
      <c r="Z300" s="105"/>
      <c r="AA300" s="105"/>
      <c r="AB300" s="105"/>
      <c r="AC300" s="105"/>
      <c r="AD300" s="105"/>
      <c r="AE300" s="105"/>
      <c r="AG300" s="8"/>
    </row>
    <row r="301" customFormat="false" ht="15.75" hidden="false" customHeight="true" outlineLevel="0" collapsed="false">
      <c r="A301" s="112" t="n">
        <v>45302</v>
      </c>
      <c r="B301" s="123" t="s">
        <v>387</v>
      </c>
      <c r="C301" s="100" t="s">
        <v>383</v>
      </c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117"/>
      <c r="P301" s="124" t="n">
        <v>11200</v>
      </c>
      <c r="Q301" s="100" t="s">
        <v>270</v>
      </c>
      <c r="R301" s="100" t="s">
        <v>388</v>
      </c>
      <c r="S301" s="105"/>
      <c r="T301" s="104" t="n">
        <v>4300</v>
      </c>
      <c r="U301" s="104"/>
      <c r="V301" s="104" t="n">
        <v>100</v>
      </c>
      <c r="W301" s="105"/>
      <c r="X301" s="105"/>
      <c r="Y301" s="105"/>
      <c r="Z301" s="105"/>
      <c r="AA301" s="105"/>
      <c r="AB301" s="105"/>
      <c r="AC301" s="104" t="n">
        <v>6800</v>
      </c>
      <c r="AD301" s="105"/>
      <c r="AE301" s="105"/>
      <c r="AG301" s="8"/>
    </row>
    <row r="302" customFormat="false" ht="15.75" hidden="false" customHeight="true" outlineLevel="0" collapsed="false">
      <c r="A302" s="112" t="n">
        <v>45309</v>
      </c>
      <c r="B302" s="123" t="s">
        <v>389</v>
      </c>
      <c r="C302" s="100" t="s">
        <v>390</v>
      </c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17"/>
      <c r="P302" s="124" t="n">
        <v>4850</v>
      </c>
      <c r="Q302" s="100" t="s">
        <v>270</v>
      </c>
      <c r="R302" s="100" t="s">
        <v>379</v>
      </c>
      <c r="S302" s="105"/>
      <c r="T302" s="104" t="n">
        <v>4850</v>
      </c>
      <c r="U302" s="104"/>
      <c r="V302" s="105"/>
      <c r="W302" s="105"/>
      <c r="X302" s="105"/>
      <c r="Y302" s="105"/>
      <c r="Z302" s="105"/>
      <c r="AA302" s="105"/>
      <c r="AB302" s="105"/>
      <c r="AC302" s="105"/>
      <c r="AD302" s="105"/>
      <c r="AE302" s="105"/>
      <c r="AG302" s="8"/>
    </row>
    <row r="303" customFormat="false" ht="15.75" hidden="false" customHeight="true" outlineLevel="0" collapsed="false">
      <c r="A303" s="112" t="n">
        <v>45314</v>
      </c>
      <c r="B303" s="123" t="s">
        <v>391</v>
      </c>
      <c r="C303" s="100" t="s">
        <v>392</v>
      </c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17"/>
      <c r="P303" s="124" t="n">
        <v>3750</v>
      </c>
      <c r="Q303" s="100" t="s">
        <v>346</v>
      </c>
      <c r="R303" s="100" t="s">
        <v>393</v>
      </c>
      <c r="S303" s="105"/>
      <c r="T303" s="105"/>
      <c r="U303" s="105"/>
      <c r="V303" s="105"/>
      <c r="W303" s="105"/>
      <c r="X303" s="105"/>
      <c r="Y303" s="104" t="n">
        <v>3750</v>
      </c>
      <c r="Z303" s="105"/>
      <c r="AA303" s="105"/>
      <c r="AB303" s="105"/>
      <c r="AC303" s="105"/>
      <c r="AD303" s="105"/>
      <c r="AE303" s="105"/>
      <c r="AG303" s="8"/>
    </row>
    <row r="304" customFormat="false" ht="15.75" hidden="false" customHeight="true" outlineLevel="0" collapsed="false">
      <c r="A304" s="112" t="n">
        <v>45316</v>
      </c>
      <c r="B304" s="123" t="s">
        <v>394</v>
      </c>
      <c r="C304" s="100" t="s">
        <v>395</v>
      </c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117"/>
      <c r="P304" s="124" t="n">
        <v>3100</v>
      </c>
      <c r="Q304" s="100" t="s">
        <v>270</v>
      </c>
      <c r="R304" s="100" t="s">
        <v>396</v>
      </c>
      <c r="S304" s="105"/>
      <c r="T304" s="104" t="n">
        <v>3100</v>
      </c>
      <c r="U304" s="104"/>
      <c r="V304" s="105"/>
      <c r="W304" s="105"/>
      <c r="X304" s="105"/>
      <c r="Y304" s="105"/>
      <c r="Z304" s="105"/>
      <c r="AA304" s="105"/>
      <c r="AB304" s="105"/>
      <c r="AC304" s="105"/>
      <c r="AD304" s="105"/>
      <c r="AE304" s="105"/>
      <c r="AG304" s="8"/>
    </row>
    <row r="305" customFormat="false" ht="15.75" hidden="false" customHeight="true" outlineLevel="0" collapsed="false">
      <c r="A305" s="112" t="n">
        <v>45320</v>
      </c>
      <c r="B305" s="123" t="s">
        <v>397</v>
      </c>
      <c r="C305" s="100" t="s">
        <v>398</v>
      </c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17"/>
      <c r="P305" s="124" t="n">
        <v>480</v>
      </c>
      <c r="Q305" s="100" t="s">
        <v>270</v>
      </c>
      <c r="R305" s="100" t="s">
        <v>399</v>
      </c>
      <c r="S305" s="105"/>
      <c r="T305" s="104" t="n">
        <v>480</v>
      </c>
      <c r="U305" s="104"/>
      <c r="V305" s="105"/>
      <c r="W305" s="105"/>
      <c r="X305" s="105"/>
      <c r="Y305" s="105"/>
      <c r="Z305" s="105"/>
      <c r="AA305" s="105"/>
      <c r="AB305" s="105"/>
      <c r="AC305" s="105"/>
      <c r="AG305" s="8"/>
    </row>
    <row r="306" customFormat="false" ht="15.75" hidden="false" customHeight="true" outlineLevel="0" collapsed="false">
      <c r="A306" s="112" t="n">
        <v>45321</v>
      </c>
      <c r="B306" s="123" t="s">
        <v>400</v>
      </c>
      <c r="C306" s="100" t="s">
        <v>401</v>
      </c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117"/>
      <c r="P306" s="124" t="n">
        <v>1050</v>
      </c>
      <c r="Q306" s="100" t="s">
        <v>270</v>
      </c>
      <c r="R306" s="100" t="s">
        <v>399</v>
      </c>
      <c r="S306" s="105"/>
      <c r="T306" s="105"/>
      <c r="U306" s="105"/>
      <c r="V306" s="105"/>
      <c r="W306" s="104" t="n">
        <v>1050</v>
      </c>
      <c r="X306" s="104"/>
      <c r="Y306" s="105"/>
      <c r="Z306" s="105"/>
      <c r="AA306" s="105"/>
      <c r="AB306" s="105"/>
      <c r="AC306" s="105"/>
      <c r="AG306" s="8"/>
    </row>
    <row r="307" customFormat="false" ht="15.75" hidden="false" customHeight="true" outlineLevel="0" collapsed="false">
      <c r="A307" s="112" t="n">
        <v>45322</v>
      </c>
      <c r="B307" s="123" t="s">
        <v>402</v>
      </c>
      <c r="C307" s="100" t="s">
        <v>403</v>
      </c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  <c r="O307" s="117"/>
      <c r="P307" s="124" t="n">
        <v>5800</v>
      </c>
      <c r="Q307" s="100" t="s">
        <v>270</v>
      </c>
      <c r="R307" s="100" t="s">
        <v>384</v>
      </c>
      <c r="S307" s="105"/>
      <c r="T307" s="104" t="n">
        <v>5800</v>
      </c>
      <c r="U307" s="104"/>
      <c r="V307" s="105"/>
      <c r="W307" s="105"/>
      <c r="X307" s="105"/>
      <c r="Y307" s="105"/>
      <c r="Z307" s="105"/>
      <c r="AA307" s="105"/>
      <c r="AB307" s="105"/>
      <c r="AC307" s="105"/>
      <c r="AG307" s="8"/>
    </row>
    <row r="308" customFormat="false" ht="15.75" hidden="false" customHeight="true" outlineLevel="0" collapsed="false">
      <c r="A308" s="112" t="n">
        <v>45322</v>
      </c>
      <c r="B308" s="123" t="s">
        <v>404</v>
      </c>
      <c r="C308" s="100" t="s">
        <v>405</v>
      </c>
      <c r="D308" s="100"/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  <c r="O308" s="117"/>
      <c r="P308" s="124" t="n">
        <v>7012.5</v>
      </c>
      <c r="Q308" s="100" t="s">
        <v>270</v>
      </c>
      <c r="R308" s="100" t="s">
        <v>388</v>
      </c>
      <c r="S308" s="105"/>
      <c r="T308" s="104" t="n">
        <v>7012.5</v>
      </c>
      <c r="U308" s="104"/>
      <c r="V308" s="105"/>
      <c r="W308" s="105"/>
      <c r="X308" s="105"/>
      <c r="Y308" s="105"/>
      <c r="Z308" s="105"/>
      <c r="AA308" s="105"/>
      <c r="AB308" s="105"/>
      <c r="AC308" s="105"/>
      <c r="AG308" s="8"/>
    </row>
    <row r="309" customFormat="false" ht="15.75" hidden="false" customHeight="true" outlineLevel="0" collapsed="false">
      <c r="A309" s="112" t="n">
        <v>45343</v>
      </c>
      <c r="B309" s="123" t="s">
        <v>406</v>
      </c>
      <c r="C309" s="100" t="s">
        <v>407</v>
      </c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17"/>
      <c r="P309" s="124" t="n">
        <v>400</v>
      </c>
      <c r="Q309" s="100" t="s">
        <v>408</v>
      </c>
      <c r="R309" s="100" t="s">
        <v>379</v>
      </c>
      <c r="S309" s="105"/>
      <c r="T309" s="105"/>
      <c r="U309" s="105"/>
      <c r="V309" s="105"/>
      <c r="W309" s="105"/>
      <c r="X309" s="105"/>
      <c r="Y309" s="105"/>
      <c r="Z309" s="104" t="n">
        <v>400</v>
      </c>
      <c r="AA309" s="104"/>
      <c r="AB309" s="104"/>
      <c r="AC309" s="105"/>
      <c r="AG309" s="8"/>
    </row>
    <row r="310" customFormat="false" ht="15.75" hidden="false" customHeight="true" outlineLevel="0" collapsed="false">
      <c r="A310" s="112" t="n">
        <v>45351</v>
      </c>
      <c r="B310" s="123" t="s">
        <v>409</v>
      </c>
      <c r="C310" s="100" t="s">
        <v>383</v>
      </c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17"/>
      <c r="P310" s="124" t="n">
        <v>5700</v>
      </c>
      <c r="Q310" s="100" t="s">
        <v>270</v>
      </c>
      <c r="R310" s="100" t="s">
        <v>410</v>
      </c>
      <c r="S310" s="105"/>
      <c r="T310" s="105"/>
      <c r="U310" s="105"/>
      <c r="V310" s="105"/>
      <c r="W310" s="104" t="n">
        <v>1900</v>
      </c>
      <c r="X310" s="104"/>
      <c r="Y310" s="104" t="n">
        <v>3000</v>
      </c>
      <c r="Z310" s="104" t="n">
        <v>800</v>
      </c>
      <c r="AA310" s="104"/>
      <c r="AB310" s="104"/>
      <c r="AC310" s="105"/>
      <c r="AG310" s="8"/>
    </row>
    <row r="311" customFormat="false" ht="15.75" hidden="false" customHeight="true" outlineLevel="0" collapsed="false">
      <c r="A311" s="112" t="n">
        <v>45351</v>
      </c>
      <c r="B311" s="123" t="s">
        <v>411</v>
      </c>
      <c r="C311" s="100" t="s">
        <v>412</v>
      </c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17"/>
      <c r="P311" s="124" t="n">
        <v>9500</v>
      </c>
      <c r="Q311" s="100" t="s">
        <v>270</v>
      </c>
      <c r="R311" s="100" t="s">
        <v>413</v>
      </c>
      <c r="S311" s="105"/>
      <c r="T311" s="104" t="n">
        <v>9500</v>
      </c>
      <c r="U311" s="104"/>
      <c r="V311" s="105"/>
      <c r="W311" s="105"/>
      <c r="X311" s="105"/>
      <c r="Y311" s="105"/>
      <c r="Z311" s="105"/>
      <c r="AA311" s="105"/>
      <c r="AB311" s="105"/>
      <c r="AC311" s="105"/>
      <c r="AG311" s="8"/>
    </row>
    <row r="312" customFormat="false" ht="15.75" hidden="false" customHeight="true" outlineLevel="0" collapsed="false">
      <c r="A312" s="112" t="n">
        <v>45351</v>
      </c>
      <c r="B312" s="123" t="s">
        <v>414</v>
      </c>
      <c r="C312" s="100" t="s">
        <v>415</v>
      </c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17"/>
      <c r="P312" s="124" t="n">
        <v>1200</v>
      </c>
      <c r="Q312" s="100" t="s">
        <v>408</v>
      </c>
      <c r="R312" s="100" t="s">
        <v>416</v>
      </c>
      <c r="S312" s="105"/>
      <c r="T312" s="105"/>
      <c r="U312" s="105"/>
      <c r="V312" s="105"/>
      <c r="W312" s="105"/>
      <c r="X312" s="105"/>
      <c r="Y312" s="105"/>
      <c r="Z312" s="104" t="n">
        <v>1200</v>
      </c>
      <c r="AA312" s="104"/>
      <c r="AB312" s="104"/>
      <c r="AC312" s="105"/>
      <c r="AG312" s="8"/>
    </row>
    <row r="313" customFormat="false" ht="15.75" hidden="false" customHeight="true" outlineLevel="0" collapsed="false">
      <c r="A313" s="112" t="n">
        <v>45351</v>
      </c>
      <c r="B313" s="123" t="s">
        <v>417</v>
      </c>
      <c r="C313" s="100" t="s">
        <v>418</v>
      </c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117"/>
      <c r="P313" s="124" t="n">
        <v>4500</v>
      </c>
      <c r="Q313" s="100" t="s">
        <v>270</v>
      </c>
      <c r="R313" s="100" t="s">
        <v>419</v>
      </c>
      <c r="S313" s="105"/>
      <c r="T313" s="104" t="n">
        <v>4500</v>
      </c>
      <c r="U313" s="104"/>
      <c r="V313" s="105"/>
      <c r="W313" s="105"/>
      <c r="X313" s="105"/>
      <c r="Y313" s="105"/>
      <c r="Z313" s="105"/>
      <c r="AA313" s="105"/>
      <c r="AB313" s="105"/>
      <c r="AC313" s="105"/>
      <c r="AG313" s="8"/>
    </row>
    <row r="314" customFormat="false" ht="15.75" hidden="false" customHeight="true" outlineLevel="0" collapsed="false">
      <c r="A314" s="112" t="n">
        <v>45351</v>
      </c>
      <c r="B314" s="123" t="s">
        <v>420</v>
      </c>
      <c r="C314" s="100" t="s">
        <v>383</v>
      </c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17"/>
      <c r="P314" s="124" t="n">
        <v>450</v>
      </c>
      <c r="Q314" s="100" t="s">
        <v>270</v>
      </c>
      <c r="R314" s="100" t="s">
        <v>396</v>
      </c>
      <c r="S314" s="105"/>
      <c r="T314" s="105"/>
      <c r="U314" s="105"/>
      <c r="V314" s="105"/>
      <c r="W314" s="105"/>
      <c r="X314" s="105"/>
      <c r="Y314" s="105"/>
      <c r="Z314" s="105"/>
      <c r="AA314" s="105"/>
      <c r="AB314" s="105"/>
      <c r="AC314" s="104" t="n">
        <v>450</v>
      </c>
      <c r="AG314" s="8"/>
    </row>
    <row r="315" customFormat="false" ht="15.75" hidden="false" customHeight="true" outlineLevel="0" collapsed="false">
      <c r="A315" s="112" t="n">
        <v>45351</v>
      </c>
      <c r="B315" s="123" t="s">
        <v>421</v>
      </c>
      <c r="C315" s="100" t="s">
        <v>383</v>
      </c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17"/>
      <c r="P315" s="124" t="n">
        <v>3600</v>
      </c>
      <c r="Q315" s="100" t="s">
        <v>270</v>
      </c>
      <c r="R315" s="100" t="s">
        <v>416</v>
      </c>
      <c r="S315" s="105"/>
      <c r="T315" s="105"/>
      <c r="U315" s="105"/>
      <c r="V315" s="105"/>
      <c r="W315" s="104" t="n">
        <v>600</v>
      </c>
      <c r="X315" s="104"/>
      <c r="Y315" s="105"/>
      <c r="Z315" s="104" t="n">
        <v>2400</v>
      </c>
      <c r="AA315" s="104"/>
      <c r="AB315" s="104"/>
      <c r="AC315" s="104" t="n">
        <v>600</v>
      </c>
      <c r="AG315" s="8"/>
    </row>
    <row r="316" customFormat="false" ht="15.75" hidden="false" customHeight="true" outlineLevel="0" collapsed="false">
      <c r="A316" s="112" t="n">
        <v>45351</v>
      </c>
      <c r="B316" s="123" t="s">
        <v>422</v>
      </c>
      <c r="C316" s="100" t="s">
        <v>383</v>
      </c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117"/>
      <c r="P316" s="124" t="n">
        <v>5000</v>
      </c>
      <c r="Q316" s="100" t="s">
        <v>270</v>
      </c>
      <c r="R316" s="100" t="s">
        <v>393</v>
      </c>
      <c r="S316" s="105"/>
      <c r="T316" s="104" t="n">
        <v>5000</v>
      </c>
      <c r="U316" s="104"/>
      <c r="V316" s="104" t="n">
        <v>0</v>
      </c>
      <c r="W316" s="105"/>
      <c r="X316" s="105"/>
      <c r="Y316" s="105"/>
      <c r="Z316" s="105"/>
      <c r="AA316" s="105"/>
      <c r="AB316" s="105"/>
      <c r="AC316" s="105"/>
      <c r="AG316" s="8"/>
    </row>
    <row r="317" customFormat="false" ht="15.75" hidden="false" customHeight="true" outlineLevel="0" collapsed="false">
      <c r="A317" s="112" t="n">
        <v>45351</v>
      </c>
      <c r="B317" s="123" t="s">
        <v>423</v>
      </c>
      <c r="C317" s="100" t="s">
        <v>424</v>
      </c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17"/>
      <c r="P317" s="124" t="n">
        <v>3500</v>
      </c>
      <c r="Q317" s="100" t="s">
        <v>408</v>
      </c>
      <c r="R317" s="100" t="s">
        <v>393</v>
      </c>
      <c r="S317" s="105"/>
      <c r="T317" s="104" t="n">
        <v>2000</v>
      </c>
      <c r="U317" s="104"/>
      <c r="V317" s="104" t="n">
        <v>0</v>
      </c>
      <c r="W317" s="105"/>
      <c r="X317" s="105"/>
      <c r="Y317" s="104" t="n">
        <v>1500</v>
      </c>
      <c r="Z317" s="105"/>
      <c r="AA317" s="105"/>
      <c r="AB317" s="105"/>
      <c r="AC317" s="105"/>
      <c r="AG317" s="8"/>
    </row>
    <row r="318" customFormat="false" ht="15.75" hidden="false" customHeight="true" outlineLevel="0" collapsed="false">
      <c r="A318" s="112" t="n">
        <v>45365</v>
      </c>
      <c r="B318" s="123" t="s">
        <v>425</v>
      </c>
      <c r="C318" s="100" t="s">
        <v>426</v>
      </c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17"/>
      <c r="P318" s="124" t="n">
        <v>2000</v>
      </c>
      <c r="Q318" s="100" t="s">
        <v>408</v>
      </c>
      <c r="R318" s="100" t="s">
        <v>413</v>
      </c>
      <c r="S318" s="105"/>
      <c r="T318" s="104" t="n">
        <v>2000</v>
      </c>
      <c r="U318" s="104"/>
      <c r="V318" s="105"/>
      <c r="W318" s="105"/>
      <c r="X318" s="105"/>
      <c r="Y318" s="105"/>
      <c r="Z318" s="105"/>
      <c r="AA318" s="105"/>
      <c r="AB318" s="105"/>
      <c r="AC318" s="105"/>
      <c r="AG318" s="8"/>
    </row>
    <row r="319" customFormat="false" ht="15.75" hidden="false" customHeight="true" outlineLevel="0" collapsed="false">
      <c r="A319" s="112" t="n">
        <v>45365</v>
      </c>
      <c r="B319" s="125" t="s">
        <v>427</v>
      </c>
      <c r="C319" s="100" t="s">
        <v>428</v>
      </c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17"/>
      <c r="P319" s="124" t="n">
        <v>4800</v>
      </c>
      <c r="Q319" s="100" t="s">
        <v>270</v>
      </c>
      <c r="R319" s="100" t="s">
        <v>396</v>
      </c>
      <c r="S319" s="105"/>
      <c r="T319" s="105"/>
      <c r="U319" s="105"/>
      <c r="V319" s="105"/>
      <c r="W319" s="105"/>
      <c r="X319" s="105"/>
      <c r="Y319" s="104" t="n">
        <v>4800</v>
      </c>
      <c r="Z319" s="105"/>
      <c r="AA319" s="105"/>
      <c r="AB319" s="105"/>
      <c r="AC319" s="105"/>
      <c r="AG319" s="8"/>
    </row>
    <row r="320" customFormat="false" ht="15.75" hidden="false" customHeight="true" outlineLevel="0" collapsed="false">
      <c r="A320" s="112" t="n">
        <v>45380</v>
      </c>
      <c r="B320" s="123" t="s">
        <v>429</v>
      </c>
      <c r="C320" s="100" t="s">
        <v>297</v>
      </c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117"/>
      <c r="P320" s="124" t="n">
        <v>2600</v>
      </c>
      <c r="Q320" s="100" t="s">
        <v>270</v>
      </c>
      <c r="R320" s="100" t="s">
        <v>379</v>
      </c>
      <c r="S320" s="105"/>
      <c r="T320" s="104" t="n">
        <v>2600</v>
      </c>
      <c r="U320" s="104"/>
      <c r="V320" s="105"/>
      <c r="W320" s="105"/>
      <c r="X320" s="105"/>
      <c r="Y320" s="105"/>
      <c r="Z320" s="105"/>
      <c r="AA320" s="105"/>
      <c r="AB320" s="105"/>
      <c r="AC320" s="105"/>
      <c r="AG320" s="8"/>
    </row>
    <row r="321" customFormat="false" ht="15.75" hidden="false" customHeight="true" outlineLevel="0" collapsed="false">
      <c r="A321" s="112" t="n">
        <v>45398</v>
      </c>
      <c r="B321" s="123" t="s">
        <v>430</v>
      </c>
      <c r="C321" s="100" t="s">
        <v>431</v>
      </c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117"/>
      <c r="P321" s="124" t="n">
        <v>1160</v>
      </c>
      <c r="Q321" s="100" t="s">
        <v>270</v>
      </c>
      <c r="R321" s="100" t="s">
        <v>396</v>
      </c>
      <c r="S321" s="105"/>
      <c r="T321" s="104" t="n">
        <v>1160</v>
      </c>
      <c r="U321" s="104"/>
      <c r="V321" s="105"/>
      <c r="W321" s="105"/>
      <c r="X321" s="105"/>
      <c r="Y321" s="105"/>
      <c r="Z321" s="105"/>
      <c r="AA321" s="105"/>
      <c r="AB321" s="83"/>
      <c r="AG321" s="8"/>
    </row>
    <row r="322" customFormat="false" ht="15.75" hidden="false" customHeight="true" outlineLevel="0" collapsed="false">
      <c r="A322" s="112" t="n">
        <v>45406</v>
      </c>
      <c r="B322" s="123" t="s">
        <v>432</v>
      </c>
      <c r="C322" s="100" t="s">
        <v>426</v>
      </c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17"/>
      <c r="P322" s="124" t="n">
        <v>4740</v>
      </c>
      <c r="Q322" s="100" t="s">
        <v>408</v>
      </c>
      <c r="R322" s="100" t="s">
        <v>410</v>
      </c>
      <c r="S322" s="105"/>
      <c r="T322" s="104" t="n">
        <v>4740</v>
      </c>
      <c r="U322" s="104"/>
      <c r="V322" s="105"/>
      <c r="W322" s="105"/>
      <c r="X322" s="105"/>
      <c r="Y322" s="105"/>
      <c r="Z322" s="105"/>
      <c r="AA322" s="105"/>
      <c r="AB322" s="83"/>
      <c r="AG322" s="8"/>
    </row>
    <row r="323" customFormat="false" ht="15.75" hidden="false" customHeight="true" outlineLevel="0" collapsed="false">
      <c r="A323" s="112" t="n">
        <v>45412</v>
      </c>
      <c r="B323" s="123" t="s">
        <v>433</v>
      </c>
      <c r="C323" s="100" t="s">
        <v>434</v>
      </c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17"/>
      <c r="P323" s="124" t="n">
        <v>1900</v>
      </c>
      <c r="Q323" s="100" t="s">
        <v>408</v>
      </c>
      <c r="R323" s="100" t="s">
        <v>435</v>
      </c>
      <c r="S323" s="105"/>
      <c r="T323" s="104" t="n">
        <v>1900</v>
      </c>
      <c r="U323" s="104"/>
      <c r="V323" s="105"/>
      <c r="W323" s="105"/>
      <c r="X323" s="105"/>
      <c r="Y323" s="105"/>
      <c r="Z323" s="105"/>
      <c r="AA323" s="105"/>
      <c r="AB323" s="83"/>
      <c r="AG323" s="8"/>
    </row>
    <row r="324" customFormat="false" ht="15.75" hidden="false" customHeight="true" outlineLevel="0" collapsed="false">
      <c r="A324" s="112" t="n">
        <v>45412</v>
      </c>
      <c r="B324" s="123" t="s">
        <v>436</v>
      </c>
      <c r="C324" s="100" t="s">
        <v>437</v>
      </c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17"/>
      <c r="P324" s="124" t="n">
        <v>1400</v>
      </c>
      <c r="Q324" s="100" t="s">
        <v>270</v>
      </c>
      <c r="R324" s="100" t="s">
        <v>399</v>
      </c>
      <c r="S324" s="105"/>
      <c r="T324" s="105"/>
      <c r="U324" s="105"/>
      <c r="V324" s="105"/>
      <c r="W324" s="105"/>
      <c r="X324" s="105"/>
      <c r="Y324" s="105"/>
      <c r="Z324" s="104" t="n">
        <v>1400</v>
      </c>
      <c r="AA324" s="104"/>
      <c r="AB324" s="126"/>
      <c r="AG324" s="8"/>
    </row>
    <row r="325" customFormat="false" ht="15.75" hidden="false" customHeight="true" outlineLevel="0" collapsed="false">
      <c r="A325" s="112" t="n">
        <v>45412</v>
      </c>
      <c r="B325" s="123" t="s">
        <v>438</v>
      </c>
      <c r="C325" s="100" t="s">
        <v>439</v>
      </c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17"/>
      <c r="P325" s="124" t="n">
        <v>9000</v>
      </c>
      <c r="Q325" s="100" t="s">
        <v>270</v>
      </c>
      <c r="R325" s="100" t="s">
        <v>399</v>
      </c>
      <c r="S325" s="105"/>
      <c r="T325" s="104" t="n">
        <v>9000</v>
      </c>
      <c r="U325" s="104"/>
      <c r="V325" s="105"/>
      <c r="W325" s="105"/>
      <c r="X325" s="105"/>
      <c r="Y325" s="105"/>
      <c r="Z325" s="105"/>
      <c r="AA325" s="105"/>
      <c r="AB325" s="83"/>
      <c r="AG325" s="8"/>
    </row>
    <row r="326" customFormat="false" ht="15.75" hidden="false" customHeight="true" outlineLevel="0" collapsed="false">
      <c r="A326" s="112" t="n">
        <v>45412</v>
      </c>
      <c r="B326" s="123" t="s">
        <v>440</v>
      </c>
      <c r="C326" s="100" t="s">
        <v>441</v>
      </c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17"/>
      <c r="P326" s="124" t="n">
        <v>995</v>
      </c>
      <c r="Q326" s="100" t="s">
        <v>408</v>
      </c>
      <c r="R326" s="100" t="s">
        <v>396</v>
      </c>
      <c r="S326" s="105"/>
      <c r="T326" s="104" t="n">
        <v>995</v>
      </c>
      <c r="U326" s="104"/>
      <c r="V326" s="105"/>
      <c r="W326" s="105"/>
      <c r="X326" s="105"/>
      <c r="Y326" s="105"/>
      <c r="Z326" s="105"/>
      <c r="AA326" s="105"/>
      <c r="AB326" s="83"/>
      <c r="AG326" s="8"/>
    </row>
    <row r="327" customFormat="false" ht="15.75" hidden="false" customHeight="true" outlineLevel="0" collapsed="false">
      <c r="A327" s="112" t="n">
        <v>45422</v>
      </c>
      <c r="B327" s="123" t="s">
        <v>442</v>
      </c>
      <c r="C327" s="100" t="s">
        <v>443</v>
      </c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17"/>
      <c r="P327" s="124" t="n">
        <v>3850</v>
      </c>
      <c r="Q327" s="100" t="s">
        <v>408</v>
      </c>
      <c r="R327" s="100" t="s">
        <v>416</v>
      </c>
      <c r="S327" s="105"/>
      <c r="T327" s="104" t="n">
        <v>2350</v>
      </c>
      <c r="U327" s="104"/>
      <c r="V327" s="105"/>
      <c r="W327" s="105"/>
      <c r="X327" s="105"/>
      <c r="Y327" s="104" t="n">
        <v>1500</v>
      </c>
      <c r="Z327" s="105"/>
      <c r="AA327" s="105"/>
      <c r="AB327" s="83"/>
      <c r="AG327" s="8"/>
    </row>
    <row r="328" customFormat="false" ht="15.75" hidden="false" customHeight="true" outlineLevel="0" collapsed="false">
      <c r="A328" s="112" t="n">
        <v>45426</v>
      </c>
      <c r="B328" s="123" t="s">
        <v>444</v>
      </c>
      <c r="C328" s="100" t="s">
        <v>445</v>
      </c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17"/>
      <c r="P328" s="124" t="n">
        <v>6412.5</v>
      </c>
      <c r="Q328" s="100" t="s">
        <v>408</v>
      </c>
      <c r="R328" s="100" t="s">
        <v>384</v>
      </c>
      <c r="S328" s="105"/>
      <c r="T328" s="105"/>
      <c r="U328" s="105"/>
      <c r="V328" s="105"/>
      <c r="W328" s="104" t="n">
        <v>3412.5</v>
      </c>
      <c r="X328" s="104"/>
      <c r="Y328" s="104" t="n">
        <v>3000</v>
      </c>
      <c r="Z328" s="105"/>
      <c r="AA328" s="105"/>
      <c r="AB328" s="83"/>
      <c r="AG328" s="8"/>
    </row>
    <row r="329" customFormat="false" ht="15.75" hidden="false" customHeight="true" outlineLevel="0" collapsed="false">
      <c r="A329" s="112" t="n">
        <v>45434</v>
      </c>
      <c r="B329" s="123" t="s">
        <v>446</v>
      </c>
      <c r="C329" s="100" t="s">
        <v>447</v>
      </c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17"/>
      <c r="P329" s="124" t="n">
        <v>1500</v>
      </c>
      <c r="Q329" s="100" t="s">
        <v>408</v>
      </c>
      <c r="R329" s="100" t="s">
        <v>410</v>
      </c>
      <c r="S329" s="105"/>
      <c r="T329" s="105"/>
      <c r="U329" s="105"/>
      <c r="V329" s="105"/>
      <c r="W329" s="105"/>
      <c r="X329" s="105"/>
      <c r="Y329" s="104" t="n">
        <v>1500</v>
      </c>
      <c r="Z329" s="105"/>
      <c r="AA329" s="105"/>
      <c r="AB329" s="83"/>
      <c r="AG329" s="8"/>
    </row>
    <row r="330" customFormat="false" ht="15.75" hidden="false" customHeight="true" outlineLevel="0" collapsed="false">
      <c r="A330" s="112" t="n">
        <v>45442</v>
      </c>
      <c r="B330" s="123" t="s">
        <v>448</v>
      </c>
      <c r="C330" s="100" t="s">
        <v>449</v>
      </c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17"/>
      <c r="P330" s="124" t="n">
        <v>2195</v>
      </c>
      <c r="Q330" s="100" t="s">
        <v>408</v>
      </c>
      <c r="R330" s="100" t="s">
        <v>450</v>
      </c>
      <c r="S330" s="105"/>
      <c r="T330" s="104" t="n">
        <v>2195</v>
      </c>
      <c r="U330" s="104"/>
      <c r="V330" s="105"/>
      <c r="W330" s="105"/>
      <c r="X330" s="105"/>
      <c r="Y330" s="105"/>
      <c r="Z330" s="105"/>
      <c r="AA330" s="105"/>
      <c r="AB330" s="83"/>
      <c r="AG330" s="8"/>
    </row>
    <row r="331" customFormat="false" ht="15.75" hidden="false" customHeight="true" outlineLevel="0" collapsed="false">
      <c r="A331" s="112" t="n">
        <v>45468</v>
      </c>
      <c r="B331" s="123" t="s">
        <v>451</v>
      </c>
      <c r="C331" s="100" t="s">
        <v>426</v>
      </c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17"/>
      <c r="P331" s="124" t="n">
        <v>864</v>
      </c>
      <c r="Q331" s="100" t="s">
        <v>408</v>
      </c>
      <c r="R331" s="100" t="s">
        <v>416</v>
      </c>
      <c r="S331" s="105"/>
      <c r="T331" s="105"/>
      <c r="U331" s="105"/>
      <c r="V331" s="105"/>
      <c r="W331" s="105"/>
      <c r="X331" s="105"/>
      <c r="Y331" s="105"/>
      <c r="Z331" s="104" t="n">
        <v>864</v>
      </c>
      <c r="AA331" s="104"/>
      <c r="AB331" s="126"/>
      <c r="AG331" s="8"/>
    </row>
    <row r="332" customFormat="false" ht="15.75" hidden="false" customHeight="true" outlineLevel="0" collapsed="false">
      <c r="A332" s="112" t="n">
        <v>45471</v>
      </c>
      <c r="B332" s="123" t="s">
        <v>452</v>
      </c>
      <c r="C332" s="100" t="s">
        <v>453</v>
      </c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17"/>
      <c r="P332" s="124" t="n">
        <v>6000</v>
      </c>
      <c r="Q332" s="100" t="s">
        <v>270</v>
      </c>
      <c r="R332" s="100" t="s">
        <v>435</v>
      </c>
      <c r="S332" s="105"/>
      <c r="T332" s="104" t="n">
        <v>4500</v>
      </c>
      <c r="U332" s="104"/>
      <c r="V332" s="105"/>
      <c r="W332" s="105"/>
      <c r="X332" s="105"/>
      <c r="Y332" s="104" t="n">
        <v>1500</v>
      </c>
      <c r="Z332" s="105"/>
      <c r="AA332" s="105"/>
      <c r="AB332" s="83"/>
      <c r="AG332" s="8"/>
    </row>
    <row r="333" customFormat="false" ht="15.75" hidden="false" customHeight="true" outlineLevel="0" collapsed="false">
      <c r="A333" s="116"/>
      <c r="B333" s="123"/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17"/>
      <c r="P333" s="127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  <c r="AA333" s="105"/>
      <c r="AB333" s="83"/>
      <c r="AG333" s="8"/>
    </row>
    <row r="334" customFormat="false" ht="15.75" hidden="false" customHeight="true" outlineLevel="0" collapsed="false">
      <c r="A334" s="116"/>
      <c r="B334" s="123"/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17"/>
      <c r="P334" s="127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  <c r="AA334" s="105"/>
      <c r="AB334" s="83"/>
      <c r="AG334" s="8"/>
    </row>
    <row r="335" customFormat="false" ht="15.75" hidden="false" customHeight="true" outlineLevel="0" collapsed="false">
      <c r="A335" s="116"/>
      <c r="B335" s="123"/>
      <c r="C335" s="105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17"/>
      <c r="P335" s="127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  <c r="AA335" s="105"/>
      <c r="AB335" s="83"/>
      <c r="AG335" s="8"/>
    </row>
    <row r="336" customFormat="false" ht="15.75" hidden="false" customHeight="true" outlineLevel="0" collapsed="false">
      <c r="A336" s="116"/>
      <c r="B336" s="123"/>
      <c r="C336" s="105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17"/>
      <c r="P336" s="127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  <c r="AA336" s="105"/>
      <c r="AB336" s="83"/>
      <c r="AG336" s="8"/>
    </row>
    <row r="337" customFormat="false" ht="15.75" hidden="false" customHeight="true" outlineLevel="0" collapsed="false">
      <c r="A337" s="116"/>
      <c r="B337" s="123"/>
      <c r="C337" s="105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17"/>
      <c r="P337" s="105"/>
      <c r="Q337" s="105"/>
      <c r="R337" s="105"/>
      <c r="Y337" s="90"/>
      <c r="AG337" s="8"/>
    </row>
    <row r="338" customFormat="false" ht="14.25" hidden="false" customHeight="true" outlineLevel="0" collapsed="false">
      <c r="A338" s="2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Y338" s="90"/>
      <c r="AG338" s="8"/>
    </row>
    <row r="339" customFormat="false" ht="15.75" hidden="false" customHeight="true" outlineLevel="0" collapsed="false">
      <c r="A339" s="128"/>
      <c r="B339" s="129"/>
      <c r="C339" s="7"/>
      <c r="D339" s="7"/>
      <c r="E339" s="7"/>
      <c r="F339" s="7"/>
      <c r="G339" s="2"/>
      <c r="H339" s="2"/>
      <c r="I339" s="2"/>
      <c r="J339" s="2"/>
      <c r="K339" s="2"/>
      <c r="L339" s="2"/>
      <c r="M339" s="2"/>
      <c r="N339" s="2"/>
      <c r="O339" s="7"/>
      <c r="P339" s="7"/>
      <c r="Q339" s="7"/>
      <c r="R339" s="7"/>
      <c r="Y339" s="90"/>
      <c r="AG339" s="8"/>
    </row>
    <row r="340" customFormat="false" ht="15.75" hidden="false" customHeight="true" outlineLevel="0" collapsed="false">
      <c r="A340" s="2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Y340" s="90"/>
      <c r="AG340" s="8"/>
    </row>
    <row r="341" customFormat="false" ht="15.75" hidden="false" customHeight="true" outlineLevel="0" collapsed="false">
      <c r="A341" s="2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118"/>
      <c r="P341" s="118"/>
      <c r="Q341" s="118"/>
      <c r="R341" s="118"/>
      <c r="Y341" s="90"/>
      <c r="AG341" s="8"/>
    </row>
    <row r="342" customFormat="false" ht="15.75" hidden="false" customHeight="true" outlineLevel="0" collapsed="false">
      <c r="A342" s="111" t="n">
        <v>2022</v>
      </c>
      <c r="B342" s="91" t="s">
        <v>261</v>
      </c>
      <c r="C342" s="92"/>
      <c r="D342" s="92"/>
      <c r="E342" s="92"/>
      <c r="F342" s="92"/>
      <c r="G342" s="92"/>
      <c r="H342" s="92"/>
      <c r="I342" s="92"/>
      <c r="J342" s="92"/>
      <c r="K342" s="92"/>
      <c r="L342" s="92"/>
      <c r="M342" s="92"/>
      <c r="N342" s="94" t="n">
        <v>2022</v>
      </c>
      <c r="O342" s="95" t="s">
        <v>262</v>
      </c>
      <c r="P342" s="96" t="n">
        <f aca="false">SUM(P343:P369)</f>
        <v>74853.04</v>
      </c>
      <c r="Q342" s="97" t="s">
        <v>263</v>
      </c>
      <c r="R342" s="130"/>
      <c r="Y342" s="90"/>
      <c r="AG342" s="8"/>
    </row>
    <row r="343" customFormat="false" ht="15.75" hidden="false" customHeight="true" outlineLevel="0" collapsed="false">
      <c r="A343" s="112" t="n">
        <v>45351</v>
      </c>
      <c r="B343" s="123" t="s">
        <v>454</v>
      </c>
      <c r="C343" s="100" t="s">
        <v>424</v>
      </c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17"/>
      <c r="P343" s="101" t="n">
        <v>800</v>
      </c>
      <c r="Q343" s="102" t="s">
        <v>408</v>
      </c>
      <c r="R343" s="127"/>
      <c r="Y343" s="90"/>
      <c r="AG343" s="8"/>
    </row>
    <row r="344" customFormat="false" ht="15.75" hidden="false" customHeight="true" outlineLevel="0" collapsed="false">
      <c r="A344" s="112" t="n">
        <v>45351</v>
      </c>
      <c r="B344" s="123" t="s">
        <v>455</v>
      </c>
      <c r="C344" s="100" t="s">
        <v>424</v>
      </c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17"/>
      <c r="P344" s="101" t="n">
        <v>178</v>
      </c>
      <c r="Q344" s="102" t="s">
        <v>408</v>
      </c>
      <c r="R344" s="127"/>
      <c r="Y344" s="90"/>
      <c r="AG344" s="8"/>
    </row>
    <row r="345" customFormat="false" ht="15.75" hidden="false" customHeight="true" outlineLevel="0" collapsed="false">
      <c r="A345" s="112" t="n">
        <v>45351</v>
      </c>
      <c r="B345" s="123" t="s">
        <v>455</v>
      </c>
      <c r="C345" s="100" t="s">
        <v>424</v>
      </c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17"/>
      <c r="P345" s="101" t="n">
        <v>200</v>
      </c>
      <c r="Q345" s="102" t="s">
        <v>408</v>
      </c>
      <c r="R345" s="127"/>
      <c r="Y345" s="90"/>
      <c r="AG345" s="8"/>
    </row>
    <row r="346" customFormat="false" ht="15.75" hidden="false" customHeight="true" outlineLevel="0" collapsed="false">
      <c r="A346" s="112" t="n">
        <v>45351</v>
      </c>
      <c r="B346" s="123" t="s">
        <v>456</v>
      </c>
      <c r="C346" s="100" t="s">
        <v>457</v>
      </c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17"/>
      <c r="P346" s="101" t="n">
        <v>2150</v>
      </c>
      <c r="Q346" s="102" t="s">
        <v>458</v>
      </c>
      <c r="R346" s="83"/>
      <c r="Y346" s="90"/>
      <c r="AG346" s="8"/>
    </row>
    <row r="347" customFormat="false" ht="15.75" hidden="false" customHeight="true" outlineLevel="0" collapsed="false">
      <c r="A347" s="112" t="n">
        <v>45351</v>
      </c>
      <c r="B347" s="123" t="s">
        <v>459</v>
      </c>
      <c r="C347" s="100" t="s">
        <v>457</v>
      </c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17"/>
      <c r="P347" s="101" t="n">
        <v>6300</v>
      </c>
      <c r="Q347" s="102" t="s">
        <v>458</v>
      </c>
      <c r="R347" s="83"/>
      <c r="Y347" s="90"/>
      <c r="AG347" s="8"/>
    </row>
    <row r="348" customFormat="false" ht="15.75" hidden="false" customHeight="true" outlineLevel="0" collapsed="false">
      <c r="A348" s="112" t="n">
        <v>45351</v>
      </c>
      <c r="B348" s="123" t="s">
        <v>460</v>
      </c>
      <c r="C348" s="100" t="s">
        <v>457</v>
      </c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17"/>
      <c r="P348" s="101" t="n">
        <v>6000</v>
      </c>
      <c r="Q348" s="102" t="s">
        <v>458</v>
      </c>
      <c r="R348" s="127"/>
      <c r="Y348" s="90"/>
      <c r="AG348" s="8"/>
    </row>
    <row r="349" customFormat="false" ht="15.75" hidden="false" customHeight="true" outlineLevel="0" collapsed="false">
      <c r="A349" s="112" t="n">
        <v>45370</v>
      </c>
      <c r="B349" s="123" t="s">
        <v>461</v>
      </c>
      <c r="C349" s="100" t="s">
        <v>462</v>
      </c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17"/>
      <c r="P349" s="101" t="n">
        <v>4875</v>
      </c>
      <c r="Q349" s="102" t="s">
        <v>408</v>
      </c>
      <c r="R349" s="127"/>
      <c r="Y349" s="90"/>
      <c r="AG349" s="8"/>
    </row>
    <row r="350" customFormat="false" ht="15.75" hidden="false" customHeight="true" outlineLevel="0" collapsed="false">
      <c r="A350" s="112" t="n">
        <v>45372</v>
      </c>
      <c r="B350" s="123" t="s">
        <v>463</v>
      </c>
      <c r="C350" s="100" t="s">
        <v>464</v>
      </c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17"/>
      <c r="P350" s="101" t="n">
        <v>4133.34</v>
      </c>
      <c r="Q350" s="102" t="s">
        <v>408</v>
      </c>
      <c r="R350" s="127"/>
      <c r="Y350" s="90"/>
      <c r="AG350" s="8"/>
    </row>
    <row r="351" customFormat="false" ht="15.75" hidden="false" customHeight="true" outlineLevel="0" collapsed="false">
      <c r="A351" s="112" t="n">
        <v>45372</v>
      </c>
      <c r="B351" s="123" t="s">
        <v>465</v>
      </c>
      <c r="C351" s="100" t="s">
        <v>464</v>
      </c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17"/>
      <c r="P351" s="101" t="n">
        <v>2666.7</v>
      </c>
      <c r="Q351" s="102" t="s">
        <v>312</v>
      </c>
      <c r="R351" s="127"/>
      <c r="Y351" s="90"/>
      <c r="AG351" s="8"/>
    </row>
    <row r="352" customFormat="false" ht="15.75" hidden="false" customHeight="true" outlineLevel="0" collapsed="false">
      <c r="A352" s="112" t="n">
        <v>45370</v>
      </c>
      <c r="B352" s="123" t="s">
        <v>466</v>
      </c>
      <c r="C352" s="100" t="s">
        <v>467</v>
      </c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17"/>
      <c r="P352" s="101" t="n">
        <v>2800</v>
      </c>
      <c r="Q352" s="102" t="s">
        <v>312</v>
      </c>
      <c r="R352" s="103" t="s">
        <v>468</v>
      </c>
      <c r="Y352" s="90"/>
      <c r="AG352" s="8"/>
    </row>
    <row r="353" customFormat="false" ht="15.75" hidden="false" customHeight="true" outlineLevel="0" collapsed="false">
      <c r="A353" s="112" t="n">
        <v>45380</v>
      </c>
      <c r="B353" s="123" t="s">
        <v>469</v>
      </c>
      <c r="C353" s="100" t="s">
        <v>424</v>
      </c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17"/>
      <c r="P353" s="101" t="n">
        <v>2300</v>
      </c>
      <c r="Q353" s="102" t="s">
        <v>408</v>
      </c>
      <c r="R353" s="127"/>
      <c r="Y353" s="90"/>
      <c r="AG353" s="8"/>
    </row>
    <row r="354" customFormat="false" ht="15.75" hidden="false" customHeight="true" outlineLevel="0" collapsed="false">
      <c r="A354" s="112" t="n">
        <v>45380</v>
      </c>
      <c r="B354" s="123" t="s">
        <v>470</v>
      </c>
      <c r="C354" s="100" t="s">
        <v>471</v>
      </c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17"/>
      <c r="P354" s="101" t="n">
        <v>4100</v>
      </c>
      <c r="Q354" s="102" t="s">
        <v>408</v>
      </c>
      <c r="R354" s="127"/>
      <c r="Y354" s="90"/>
      <c r="AG354" s="8"/>
    </row>
    <row r="355" customFormat="false" ht="15.75" hidden="false" customHeight="true" outlineLevel="0" collapsed="false">
      <c r="A355" s="112" t="n">
        <v>45380</v>
      </c>
      <c r="B355" s="123" t="s">
        <v>472</v>
      </c>
      <c r="C355" s="100" t="s">
        <v>424</v>
      </c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17"/>
      <c r="P355" s="101" t="n">
        <v>3000</v>
      </c>
      <c r="Q355" s="102" t="s">
        <v>408</v>
      </c>
      <c r="R355" s="127"/>
      <c r="Y355" s="90"/>
      <c r="AG355" s="8"/>
    </row>
    <row r="356" customFormat="false" ht="15.75" hidden="false" customHeight="true" outlineLevel="0" collapsed="false">
      <c r="A356" s="112" t="n">
        <v>45380</v>
      </c>
      <c r="B356" s="123" t="s">
        <v>473</v>
      </c>
      <c r="C356" s="100" t="s">
        <v>457</v>
      </c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17"/>
      <c r="P356" s="101" t="n">
        <v>1000</v>
      </c>
      <c r="Q356" s="102" t="s">
        <v>458</v>
      </c>
      <c r="R356" s="127"/>
      <c r="Y356" s="90"/>
      <c r="AG356" s="8"/>
    </row>
    <row r="357" customFormat="false" ht="15.75" hidden="false" customHeight="true" outlineLevel="0" collapsed="false">
      <c r="A357" s="112" t="n">
        <v>45380</v>
      </c>
      <c r="B357" s="123" t="s">
        <v>474</v>
      </c>
      <c r="C357" s="100" t="s">
        <v>457</v>
      </c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17"/>
      <c r="P357" s="101" t="n">
        <v>200</v>
      </c>
      <c r="Q357" s="102" t="s">
        <v>458</v>
      </c>
      <c r="R357" s="127"/>
      <c r="Y357" s="90"/>
      <c r="AG357" s="8"/>
    </row>
    <row r="358" customFormat="false" ht="15.75" hidden="false" customHeight="true" outlineLevel="0" collapsed="false">
      <c r="A358" s="112" t="n">
        <v>45412</v>
      </c>
      <c r="B358" s="123" t="s">
        <v>475</v>
      </c>
      <c r="C358" s="100" t="s">
        <v>476</v>
      </c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17"/>
      <c r="P358" s="101" t="n">
        <v>1500</v>
      </c>
      <c r="Q358" s="102" t="s">
        <v>408</v>
      </c>
      <c r="R358" s="127"/>
      <c r="Y358" s="90"/>
      <c r="AG358" s="8"/>
    </row>
    <row r="359" customFormat="false" ht="15.75" hidden="false" customHeight="true" outlineLevel="0" collapsed="false">
      <c r="A359" s="112" t="n">
        <v>45412</v>
      </c>
      <c r="B359" s="123" t="s">
        <v>477</v>
      </c>
      <c r="C359" s="100" t="s">
        <v>478</v>
      </c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17"/>
      <c r="P359" s="101" t="n">
        <v>4500</v>
      </c>
      <c r="Q359" s="102" t="s">
        <v>408</v>
      </c>
      <c r="R359" s="127"/>
      <c r="Y359" s="90"/>
      <c r="AG359" s="8"/>
    </row>
    <row r="360" customFormat="false" ht="15.75" hidden="false" customHeight="true" outlineLevel="0" collapsed="false">
      <c r="A360" s="112" t="n">
        <v>45471</v>
      </c>
      <c r="B360" s="123" t="s">
        <v>479</v>
      </c>
      <c r="C360" s="100" t="s">
        <v>457</v>
      </c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17"/>
      <c r="P360" s="101" t="n">
        <v>6000</v>
      </c>
      <c r="Q360" s="102" t="s">
        <v>458</v>
      </c>
      <c r="R360" s="127"/>
      <c r="Y360" s="90"/>
      <c r="AG360" s="8"/>
    </row>
    <row r="361" customFormat="false" ht="15.75" hidden="false" customHeight="true" outlineLevel="0" collapsed="false">
      <c r="A361" s="112" t="n">
        <v>45471</v>
      </c>
      <c r="B361" s="123" t="s">
        <v>480</v>
      </c>
      <c r="C361" s="100" t="s">
        <v>457</v>
      </c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17"/>
      <c r="P361" s="101" t="n">
        <v>5500</v>
      </c>
      <c r="Q361" s="102" t="s">
        <v>458</v>
      </c>
      <c r="R361" s="127"/>
      <c r="Y361" s="90"/>
      <c r="AG361" s="8"/>
    </row>
    <row r="362" customFormat="false" ht="15.75" hidden="false" customHeight="true" outlineLevel="0" collapsed="false">
      <c r="A362" s="112" t="n">
        <v>45471</v>
      </c>
      <c r="B362" s="123" t="s">
        <v>481</v>
      </c>
      <c r="C362" s="100" t="s">
        <v>482</v>
      </c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17"/>
      <c r="P362" s="101" t="n">
        <v>3500</v>
      </c>
      <c r="Q362" s="102" t="s">
        <v>408</v>
      </c>
      <c r="R362" s="127"/>
      <c r="Y362" s="90"/>
      <c r="AG362" s="8"/>
    </row>
    <row r="363" customFormat="false" ht="15.75" hidden="false" customHeight="true" outlineLevel="0" collapsed="false">
      <c r="A363" s="112" t="n">
        <v>45471</v>
      </c>
      <c r="B363" s="123" t="s">
        <v>483</v>
      </c>
      <c r="C363" s="100" t="s">
        <v>484</v>
      </c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17"/>
      <c r="P363" s="101" t="n">
        <v>2750</v>
      </c>
      <c r="Q363" s="102" t="s">
        <v>408</v>
      </c>
      <c r="R363" s="127"/>
      <c r="Y363" s="90"/>
      <c r="AG363" s="8"/>
    </row>
    <row r="364" customFormat="false" ht="15.75" hidden="false" customHeight="true" outlineLevel="0" collapsed="false">
      <c r="A364" s="112" t="n">
        <v>45471</v>
      </c>
      <c r="B364" s="123" t="s">
        <v>485</v>
      </c>
      <c r="C364" s="100" t="s">
        <v>486</v>
      </c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17"/>
      <c r="P364" s="101" t="n">
        <v>3500</v>
      </c>
      <c r="Q364" s="102" t="s">
        <v>408</v>
      </c>
      <c r="R364" s="127"/>
      <c r="Y364" s="90"/>
      <c r="AG364" s="8"/>
    </row>
    <row r="365" customFormat="false" ht="15.75" hidden="false" customHeight="true" outlineLevel="0" collapsed="false">
      <c r="A365" s="112" t="n">
        <v>45471</v>
      </c>
      <c r="B365" s="123" t="s">
        <v>487</v>
      </c>
      <c r="C365" s="100" t="s">
        <v>488</v>
      </c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17"/>
      <c r="P365" s="101" t="n">
        <v>6900</v>
      </c>
      <c r="Q365" s="102" t="s">
        <v>458</v>
      </c>
      <c r="R365" s="127"/>
      <c r="Y365" s="90"/>
      <c r="AG365" s="8"/>
    </row>
    <row r="366" customFormat="false" ht="15.75" hidden="false" customHeight="true" outlineLevel="0" collapsed="false">
      <c r="A366" s="116"/>
      <c r="B366" s="123"/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17"/>
      <c r="P366" s="83"/>
      <c r="Q366" s="83"/>
      <c r="R366" s="127"/>
      <c r="Y366" s="90"/>
      <c r="AG366" s="8"/>
    </row>
    <row r="367" customFormat="false" ht="15.75" hidden="false" customHeight="true" outlineLevel="0" collapsed="false">
      <c r="A367" s="116"/>
      <c r="B367" s="123"/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17"/>
      <c r="P367" s="83"/>
      <c r="Q367" s="83"/>
      <c r="R367" s="127"/>
      <c r="Y367" s="90"/>
      <c r="AG367" s="8"/>
    </row>
    <row r="368" customFormat="false" ht="15.75" hidden="false" customHeight="true" outlineLevel="0" collapsed="false">
      <c r="A368" s="116"/>
      <c r="B368" s="123"/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17"/>
      <c r="P368" s="83"/>
      <c r="Q368" s="83"/>
      <c r="R368" s="127"/>
      <c r="Y368" s="90"/>
      <c r="AG368" s="8"/>
    </row>
    <row r="369" customFormat="false" ht="15.75" hidden="false" customHeight="true" outlineLevel="0" collapsed="false">
      <c r="A369" s="116"/>
      <c r="B369" s="123"/>
      <c r="C369" s="105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17"/>
      <c r="P369" s="117"/>
      <c r="Q369" s="117"/>
      <c r="R369" s="105"/>
      <c r="Y369" s="90"/>
      <c r="AG369" s="8"/>
    </row>
    <row r="370" customFormat="false" ht="15.75" hidden="false" customHeight="true" outlineLevel="0" collapsed="false">
      <c r="A370" s="128"/>
      <c r="B370" s="129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Y370" s="90"/>
      <c r="AG370" s="8"/>
    </row>
    <row r="371" customFormat="false" ht="15.75" hidden="false" customHeight="true" outlineLevel="0" collapsed="false">
      <c r="A371" s="128"/>
      <c r="B371" s="129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Y371" s="90"/>
      <c r="AG371" s="8"/>
    </row>
    <row r="372" customFormat="false" ht="15.75" hidden="false" customHeight="true" outlineLevel="0" collapsed="false">
      <c r="A372" s="13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118"/>
      <c r="P372" s="118"/>
      <c r="Q372" s="118"/>
      <c r="R372" s="118"/>
      <c r="Y372" s="90"/>
      <c r="AG372" s="8"/>
    </row>
    <row r="373" customFormat="false" ht="15.75" hidden="false" customHeight="true" outlineLevel="0" collapsed="false">
      <c r="A373" s="111" t="n">
        <v>2021</v>
      </c>
      <c r="B373" s="91" t="s">
        <v>261</v>
      </c>
      <c r="C373" s="92"/>
      <c r="D373" s="92"/>
      <c r="E373" s="92"/>
      <c r="F373" s="92"/>
      <c r="G373" s="92"/>
      <c r="H373" s="92"/>
      <c r="I373" s="92"/>
      <c r="J373" s="92"/>
      <c r="K373" s="92"/>
      <c r="L373" s="92"/>
      <c r="M373" s="92"/>
      <c r="N373" s="94" t="n">
        <v>2021</v>
      </c>
      <c r="O373" s="95" t="s">
        <v>262</v>
      </c>
      <c r="P373" s="96" t="n">
        <f aca="false">SUM(P374:P390)</f>
        <v>40825</v>
      </c>
      <c r="Q373" s="97" t="s">
        <v>263</v>
      </c>
      <c r="R373" s="130"/>
      <c r="Y373" s="90"/>
      <c r="AG373" s="8"/>
    </row>
    <row r="374" customFormat="false" ht="15.75" hidden="false" customHeight="true" outlineLevel="0" collapsed="false">
      <c r="A374" s="132" t="n">
        <v>45330</v>
      </c>
      <c r="B374" s="123" t="s">
        <v>489</v>
      </c>
      <c r="C374" s="100" t="s">
        <v>490</v>
      </c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83"/>
      <c r="P374" s="101" t="n">
        <v>1800</v>
      </c>
      <c r="Q374" s="102" t="s">
        <v>458</v>
      </c>
      <c r="R374" s="127"/>
      <c r="Y374" s="90"/>
      <c r="AG374" s="8"/>
    </row>
    <row r="375" customFormat="false" ht="15.75" hidden="false" customHeight="true" outlineLevel="0" collapsed="false">
      <c r="A375" s="132" t="n">
        <v>45351</v>
      </c>
      <c r="B375" s="123" t="s">
        <v>491</v>
      </c>
      <c r="C375" s="100" t="s">
        <v>424</v>
      </c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83"/>
      <c r="P375" s="101" t="n">
        <v>3600</v>
      </c>
      <c r="Q375" s="102" t="s">
        <v>408</v>
      </c>
      <c r="R375" s="83"/>
      <c r="Y375" s="90"/>
      <c r="AG375" s="8"/>
    </row>
    <row r="376" customFormat="false" ht="15.75" hidden="false" customHeight="true" outlineLevel="0" collapsed="false">
      <c r="A376" s="132" t="n">
        <v>45351</v>
      </c>
      <c r="B376" s="123" t="s">
        <v>492</v>
      </c>
      <c r="C376" s="100" t="s">
        <v>424</v>
      </c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83"/>
      <c r="P376" s="101" t="n">
        <v>2000</v>
      </c>
      <c r="Q376" s="102" t="s">
        <v>408</v>
      </c>
      <c r="R376" s="83"/>
      <c r="Y376" s="90"/>
      <c r="AG376" s="8"/>
    </row>
    <row r="377" customFormat="false" ht="15.75" hidden="false" customHeight="true" outlineLevel="0" collapsed="false">
      <c r="A377" s="132" t="n">
        <v>45351</v>
      </c>
      <c r="B377" s="123" t="s">
        <v>493</v>
      </c>
      <c r="C377" s="100" t="s">
        <v>457</v>
      </c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83"/>
      <c r="P377" s="101" t="n">
        <v>1500</v>
      </c>
      <c r="Q377" s="102" t="s">
        <v>458</v>
      </c>
      <c r="R377" s="127"/>
      <c r="Y377" s="90"/>
      <c r="AG377" s="8"/>
    </row>
    <row r="378" customFormat="false" ht="15.75" hidden="false" customHeight="true" outlineLevel="0" collapsed="false">
      <c r="A378" s="132" t="n">
        <v>45351</v>
      </c>
      <c r="B378" s="123" t="s">
        <v>494</v>
      </c>
      <c r="C378" s="100" t="s">
        <v>457</v>
      </c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83"/>
      <c r="P378" s="101" t="n">
        <v>1500</v>
      </c>
      <c r="Q378" s="102" t="s">
        <v>458</v>
      </c>
      <c r="R378" s="127"/>
      <c r="Y378" s="90"/>
      <c r="AG378" s="8"/>
    </row>
    <row r="379" customFormat="false" ht="15.75" hidden="false" customHeight="true" outlineLevel="0" collapsed="false">
      <c r="A379" s="132" t="n">
        <v>45351</v>
      </c>
      <c r="B379" s="123" t="s">
        <v>495</v>
      </c>
      <c r="C379" s="100" t="s">
        <v>424</v>
      </c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83"/>
      <c r="P379" s="101" t="n">
        <v>3500</v>
      </c>
      <c r="Q379" s="102" t="s">
        <v>408</v>
      </c>
      <c r="R379" s="127"/>
      <c r="Y379" s="90"/>
      <c r="AG379" s="8"/>
    </row>
    <row r="380" customFormat="false" ht="15.75" hidden="false" customHeight="true" outlineLevel="0" collapsed="false">
      <c r="A380" s="132" t="n">
        <v>45380</v>
      </c>
      <c r="B380" s="123" t="s">
        <v>496</v>
      </c>
      <c r="C380" s="100" t="s">
        <v>424</v>
      </c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83"/>
      <c r="P380" s="101" t="n">
        <v>1595</v>
      </c>
      <c r="Q380" s="102" t="s">
        <v>408</v>
      </c>
      <c r="R380" s="127"/>
      <c r="Y380" s="90"/>
      <c r="AG380" s="8"/>
    </row>
    <row r="381" customFormat="false" ht="15.75" hidden="false" customHeight="true" outlineLevel="0" collapsed="false">
      <c r="A381" s="132" t="n">
        <v>45380</v>
      </c>
      <c r="B381" s="123" t="s">
        <v>497</v>
      </c>
      <c r="C381" s="100" t="s">
        <v>424</v>
      </c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83"/>
      <c r="P381" s="101" t="n">
        <v>2000</v>
      </c>
      <c r="Q381" s="102" t="s">
        <v>408</v>
      </c>
      <c r="R381" s="127"/>
      <c r="Y381" s="90"/>
      <c r="AG381" s="8"/>
    </row>
    <row r="382" customFormat="false" ht="15.75" hidden="false" customHeight="true" outlineLevel="0" collapsed="false">
      <c r="A382" s="132" t="n">
        <v>45412</v>
      </c>
      <c r="B382" s="123" t="s">
        <v>498</v>
      </c>
      <c r="C382" s="100" t="s">
        <v>424</v>
      </c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83"/>
      <c r="P382" s="101" t="n">
        <v>2950</v>
      </c>
      <c r="Q382" s="102" t="s">
        <v>408</v>
      </c>
      <c r="R382" s="127"/>
      <c r="Y382" s="90"/>
      <c r="AG382" s="8"/>
    </row>
    <row r="383" customFormat="false" ht="15.75" hidden="false" customHeight="true" outlineLevel="0" collapsed="false">
      <c r="A383" s="132" t="n">
        <v>45412</v>
      </c>
      <c r="B383" s="123" t="s">
        <v>499</v>
      </c>
      <c r="C383" s="100" t="s">
        <v>457</v>
      </c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83"/>
      <c r="P383" s="101" t="n">
        <v>1500</v>
      </c>
      <c r="Q383" s="102" t="s">
        <v>458</v>
      </c>
      <c r="R383" s="127"/>
      <c r="Y383" s="90"/>
      <c r="AG383" s="8"/>
    </row>
    <row r="384" customFormat="false" ht="15.75" hidden="false" customHeight="true" outlineLevel="0" collapsed="false">
      <c r="A384" s="132" t="n">
        <v>45422</v>
      </c>
      <c r="B384" s="123" t="s">
        <v>500</v>
      </c>
      <c r="C384" s="100" t="s">
        <v>501</v>
      </c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83"/>
      <c r="P384" s="101" t="n">
        <v>1080</v>
      </c>
      <c r="Q384" s="102" t="s">
        <v>408</v>
      </c>
      <c r="R384" s="127"/>
      <c r="Y384" s="90"/>
      <c r="AG384" s="8"/>
    </row>
    <row r="385" customFormat="false" ht="15.75" hidden="false" customHeight="true" outlineLevel="0" collapsed="false">
      <c r="A385" s="132" t="n">
        <v>45443</v>
      </c>
      <c r="B385" s="123" t="s">
        <v>502</v>
      </c>
      <c r="C385" s="100" t="s">
        <v>503</v>
      </c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83"/>
      <c r="P385" s="101" t="n">
        <v>3000</v>
      </c>
      <c r="Q385" s="102" t="s">
        <v>408</v>
      </c>
      <c r="R385" s="127"/>
      <c r="Y385" s="90"/>
      <c r="AG385" s="8"/>
    </row>
    <row r="386" customFormat="false" ht="15.75" hidden="false" customHeight="true" outlineLevel="0" collapsed="false">
      <c r="A386" s="132" t="n">
        <v>45443</v>
      </c>
      <c r="B386" s="123" t="s">
        <v>504</v>
      </c>
      <c r="C386" s="100" t="s">
        <v>505</v>
      </c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83"/>
      <c r="P386" s="101" t="n">
        <v>200</v>
      </c>
      <c r="Q386" s="102" t="s">
        <v>408</v>
      </c>
      <c r="R386" s="127" t="s">
        <v>506</v>
      </c>
      <c r="Y386" s="90"/>
      <c r="AG386" s="8"/>
    </row>
    <row r="387" customFormat="false" ht="15.75" hidden="false" customHeight="true" outlineLevel="0" collapsed="false">
      <c r="A387" s="132" t="n">
        <v>45471</v>
      </c>
      <c r="B387" s="123" t="s">
        <v>507</v>
      </c>
      <c r="C387" s="100" t="s">
        <v>424</v>
      </c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83"/>
      <c r="P387" s="101" t="n">
        <v>3600</v>
      </c>
      <c r="Q387" s="102" t="s">
        <v>408</v>
      </c>
      <c r="R387" s="127"/>
      <c r="Y387" s="90"/>
      <c r="AG387" s="8"/>
    </row>
    <row r="388" customFormat="false" ht="15.75" hidden="false" customHeight="true" outlineLevel="0" collapsed="false">
      <c r="A388" s="133" t="n">
        <v>45471</v>
      </c>
      <c r="B388" s="134" t="s">
        <v>508</v>
      </c>
      <c r="C388" s="135" t="s">
        <v>424</v>
      </c>
      <c r="D388" s="135"/>
      <c r="E388" s="135"/>
      <c r="F388" s="135"/>
      <c r="G388" s="135"/>
      <c r="H388" s="135"/>
      <c r="I388" s="135"/>
      <c r="J388" s="135"/>
      <c r="K388" s="135"/>
      <c r="L388" s="135"/>
      <c r="M388" s="135"/>
      <c r="N388" s="135"/>
      <c r="O388" s="83"/>
      <c r="P388" s="101" t="n">
        <v>5800</v>
      </c>
      <c r="Q388" s="102" t="s">
        <v>408</v>
      </c>
      <c r="R388" s="127" t="s">
        <v>509</v>
      </c>
      <c r="Y388" s="90"/>
      <c r="AG388" s="8"/>
    </row>
    <row r="389" customFormat="false" ht="15.75" hidden="false" customHeight="true" outlineLevel="0" collapsed="false">
      <c r="A389" s="133" t="n">
        <v>45471</v>
      </c>
      <c r="B389" s="134" t="s">
        <v>510</v>
      </c>
      <c r="C389" s="135" t="s">
        <v>511</v>
      </c>
      <c r="D389" s="135"/>
      <c r="E389" s="135"/>
      <c r="F389" s="135"/>
      <c r="G389" s="135"/>
      <c r="H389" s="135"/>
      <c r="I389" s="135"/>
      <c r="J389" s="135"/>
      <c r="K389" s="135"/>
      <c r="L389" s="135"/>
      <c r="M389" s="135"/>
      <c r="N389" s="135"/>
      <c r="O389" s="83"/>
      <c r="P389" s="101" t="n">
        <v>2200</v>
      </c>
      <c r="Q389" s="102" t="s">
        <v>408</v>
      </c>
      <c r="R389" s="127" t="s">
        <v>512</v>
      </c>
      <c r="Y389" s="90"/>
      <c r="AG389" s="8"/>
    </row>
    <row r="390" customFormat="false" ht="15.75" hidden="false" customHeight="true" outlineLevel="0" collapsed="false">
      <c r="A390" s="133" t="n">
        <v>45471</v>
      </c>
      <c r="B390" s="134" t="s">
        <v>513</v>
      </c>
      <c r="C390" s="135" t="s">
        <v>514</v>
      </c>
      <c r="D390" s="135"/>
      <c r="E390" s="135"/>
      <c r="F390" s="135"/>
      <c r="G390" s="135"/>
      <c r="H390" s="135"/>
      <c r="I390" s="135"/>
      <c r="J390" s="135"/>
      <c r="K390" s="135"/>
      <c r="L390" s="135"/>
      <c r="M390" s="135"/>
      <c r="N390" s="135"/>
      <c r="O390" s="83"/>
      <c r="P390" s="101" t="n">
        <v>3000</v>
      </c>
      <c r="Q390" s="102" t="s">
        <v>408</v>
      </c>
      <c r="R390" s="127" t="s">
        <v>515</v>
      </c>
      <c r="Y390" s="90"/>
      <c r="AG390" s="8"/>
    </row>
    <row r="391" customFormat="false" ht="15.75" hidden="false" customHeight="true" outlineLevel="0" collapsed="false">
      <c r="A391" s="131"/>
      <c r="B391" s="129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Y391" s="90"/>
      <c r="AG391" s="8"/>
    </row>
    <row r="392" customFormat="false" ht="15.75" hidden="false" customHeight="true" outlineLevel="0" collapsed="false">
      <c r="A392" s="131"/>
      <c r="B392" s="129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Y392" s="90"/>
      <c r="AG392" s="8"/>
    </row>
    <row r="393" customFormat="false" ht="15.75" hidden="false" customHeight="true" outlineLevel="0" collapsed="false">
      <c r="A393" s="131"/>
      <c r="B393" s="129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136"/>
      <c r="P393" s="136"/>
      <c r="Q393" s="136"/>
      <c r="R393" s="136"/>
      <c r="Y393" s="90"/>
      <c r="AG393" s="8"/>
    </row>
    <row r="394" customFormat="false" ht="15.75" hidden="false" customHeight="true" outlineLevel="0" collapsed="false">
      <c r="A394" s="111" t="n">
        <v>2020</v>
      </c>
      <c r="B394" s="91" t="s">
        <v>261</v>
      </c>
      <c r="C394" s="92"/>
      <c r="D394" s="92"/>
      <c r="E394" s="92"/>
      <c r="F394" s="92"/>
      <c r="G394" s="92"/>
      <c r="H394" s="92"/>
      <c r="I394" s="92"/>
      <c r="J394" s="92"/>
      <c r="K394" s="92"/>
      <c r="L394" s="92"/>
      <c r="M394" s="92"/>
      <c r="N394" s="94" t="n">
        <v>2020</v>
      </c>
      <c r="O394" s="137" t="s">
        <v>262</v>
      </c>
      <c r="P394" s="96" t="n">
        <f aca="false">SUM(P395:P412)</f>
        <v>31516.66</v>
      </c>
      <c r="Q394" s="138" t="s">
        <v>263</v>
      </c>
      <c r="R394" s="139"/>
      <c r="Y394" s="90"/>
      <c r="AG394" s="8"/>
    </row>
    <row r="395" customFormat="false" ht="15.75" hidden="false" customHeight="true" outlineLevel="0" collapsed="false">
      <c r="A395" s="140" t="n">
        <v>45302</v>
      </c>
      <c r="B395" s="125" t="s">
        <v>516</v>
      </c>
      <c r="C395" s="141" t="s">
        <v>517</v>
      </c>
      <c r="D395" s="141"/>
      <c r="E395" s="141"/>
      <c r="F395" s="141"/>
      <c r="G395" s="141"/>
      <c r="H395" s="141"/>
      <c r="I395" s="141"/>
      <c r="J395" s="141"/>
      <c r="K395" s="141"/>
      <c r="L395" s="141"/>
      <c r="M395" s="141"/>
      <c r="N395" s="141"/>
      <c r="O395" s="83"/>
      <c r="P395" s="101" t="n">
        <v>2000</v>
      </c>
      <c r="Q395" s="102" t="s">
        <v>408</v>
      </c>
      <c r="R395" s="127"/>
      <c r="Y395" s="90"/>
      <c r="AG395" s="8"/>
    </row>
    <row r="396" customFormat="false" ht="15.75" hidden="false" customHeight="true" outlineLevel="0" collapsed="false">
      <c r="A396" s="140" t="n">
        <v>45302</v>
      </c>
      <c r="B396" s="123" t="s">
        <v>518</v>
      </c>
      <c r="C396" s="141" t="s">
        <v>457</v>
      </c>
      <c r="D396" s="141"/>
      <c r="E396" s="141"/>
      <c r="F396" s="141"/>
      <c r="G396" s="141"/>
      <c r="H396" s="141"/>
      <c r="I396" s="141"/>
      <c r="J396" s="141"/>
      <c r="K396" s="141"/>
      <c r="L396" s="141"/>
      <c r="M396" s="141"/>
      <c r="N396" s="141"/>
      <c r="O396" s="83"/>
      <c r="P396" s="101" t="n">
        <v>3000</v>
      </c>
      <c r="Q396" s="102" t="s">
        <v>458</v>
      </c>
      <c r="R396" s="127"/>
      <c r="Y396" s="90"/>
      <c r="AG396" s="8"/>
    </row>
    <row r="397" customFormat="false" ht="15.75" hidden="false" customHeight="true" outlineLevel="0" collapsed="false">
      <c r="A397" s="140" t="n">
        <v>45302</v>
      </c>
      <c r="B397" s="123" t="s">
        <v>519</v>
      </c>
      <c r="C397" s="142" t="s">
        <v>457</v>
      </c>
      <c r="D397" s="142"/>
      <c r="E397" s="142"/>
      <c r="F397" s="142"/>
      <c r="G397" s="142"/>
      <c r="H397" s="142"/>
      <c r="I397" s="142"/>
      <c r="J397" s="142"/>
      <c r="K397" s="142"/>
      <c r="L397" s="142"/>
      <c r="M397" s="142"/>
      <c r="N397" s="142"/>
      <c r="O397" s="83"/>
      <c r="P397" s="101" t="n">
        <v>3000</v>
      </c>
      <c r="Q397" s="102" t="s">
        <v>458</v>
      </c>
      <c r="R397" s="127"/>
      <c r="Y397" s="90"/>
      <c r="AG397" s="8"/>
    </row>
    <row r="398" customFormat="false" ht="15.75" hidden="false" customHeight="true" outlineLevel="0" collapsed="false">
      <c r="A398" s="140" t="n">
        <v>45351</v>
      </c>
      <c r="B398" s="123" t="s">
        <v>520</v>
      </c>
      <c r="C398" s="100" t="s">
        <v>424</v>
      </c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83"/>
      <c r="P398" s="101" t="n">
        <v>1500</v>
      </c>
      <c r="Q398" s="102" t="s">
        <v>408</v>
      </c>
      <c r="R398" s="127"/>
      <c r="Y398" s="90"/>
      <c r="AG398" s="8"/>
    </row>
    <row r="399" customFormat="false" ht="15.75" hidden="false" customHeight="true" outlineLevel="0" collapsed="false">
      <c r="A399" s="140" t="n">
        <v>45351</v>
      </c>
      <c r="B399" s="123" t="s">
        <v>521</v>
      </c>
      <c r="C399" s="100" t="s">
        <v>424</v>
      </c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83"/>
      <c r="P399" s="101" t="n">
        <v>5000</v>
      </c>
      <c r="Q399" s="102" t="s">
        <v>408</v>
      </c>
      <c r="R399" s="127"/>
      <c r="Y399" s="90"/>
      <c r="AG399" s="8"/>
    </row>
    <row r="400" customFormat="false" ht="15.75" hidden="false" customHeight="true" outlineLevel="0" collapsed="false">
      <c r="A400" s="140" t="n">
        <v>45351</v>
      </c>
      <c r="B400" s="123" t="s">
        <v>522</v>
      </c>
      <c r="C400" s="100" t="s">
        <v>424</v>
      </c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83"/>
      <c r="P400" s="101" t="n">
        <v>500</v>
      </c>
      <c r="Q400" s="102" t="s">
        <v>408</v>
      </c>
      <c r="R400" s="127"/>
      <c r="Y400" s="90"/>
      <c r="AG400" s="8"/>
    </row>
    <row r="401" customFormat="false" ht="15.75" hidden="false" customHeight="true" outlineLevel="0" collapsed="false">
      <c r="A401" s="140" t="n">
        <v>45351</v>
      </c>
      <c r="B401" s="123" t="s">
        <v>523</v>
      </c>
      <c r="C401" s="100" t="s">
        <v>457</v>
      </c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83"/>
      <c r="P401" s="101" t="n">
        <v>2000</v>
      </c>
      <c r="Q401" s="102" t="s">
        <v>458</v>
      </c>
      <c r="Y401" s="90"/>
      <c r="AG401" s="8"/>
    </row>
    <row r="402" customFormat="false" ht="15.75" hidden="false" customHeight="true" outlineLevel="0" collapsed="false">
      <c r="A402" s="140" t="n">
        <v>45380</v>
      </c>
      <c r="B402" s="125" t="s">
        <v>524</v>
      </c>
      <c r="C402" s="100" t="s">
        <v>424</v>
      </c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83"/>
      <c r="P402" s="101" t="n">
        <v>3000</v>
      </c>
      <c r="Q402" s="102" t="s">
        <v>408</v>
      </c>
      <c r="Y402" s="90"/>
      <c r="AG402" s="8"/>
    </row>
    <row r="403" customFormat="false" ht="15.75" hidden="false" customHeight="true" outlineLevel="0" collapsed="false">
      <c r="A403" s="140" t="n">
        <v>45412</v>
      </c>
      <c r="B403" s="123" t="s">
        <v>525</v>
      </c>
      <c r="C403" s="100" t="s">
        <v>424</v>
      </c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83"/>
      <c r="P403" s="101" t="n">
        <v>2400</v>
      </c>
      <c r="Q403" s="102" t="s">
        <v>408</v>
      </c>
      <c r="Y403" s="90"/>
      <c r="AG403" s="8"/>
    </row>
    <row r="404" customFormat="false" ht="15.75" hidden="false" customHeight="true" outlineLevel="0" collapsed="false">
      <c r="A404" s="140" t="n">
        <v>45412</v>
      </c>
      <c r="B404" s="123" t="s">
        <v>526</v>
      </c>
      <c r="C404" s="100" t="s">
        <v>403</v>
      </c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83"/>
      <c r="P404" s="101" t="n">
        <v>3000</v>
      </c>
      <c r="Q404" s="102" t="s">
        <v>458</v>
      </c>
      <c r="Y404" s="90"/>
      <c r="AG404" s="8"/>
    </row>
    <row r="405" customFormat="false" ht="15.75" hidden="false" customHeight="true" outlineLevel="0" collapsed="false">
      <c r="A405" s="140" t="n">
        <v>45422</v>
      </c>
      <c r="B405" s="123" t="s">
        <v>502</v>
      </c>
      <c r="C405" s="100" t="s">
        <v>527</v>
      </c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83"/>
      <c r="P405" s="101" t="n">
        <v>3000</v>
      </c>
      <c r="Q405" s="102" t="s">
        <v>408</v>
      </c>
      <c r="Y405" s="90"/>
      <c r="AG405" s="8"/>
    </row>
    <row r="406" customFormat="false" ht="15.75" hidden="false" customHeight="true" outlineLevel="0" collapsed="false">
      <c r="A406" s="140" t="n">
        <v>45442</v>
      </c>
      <c r="B406" s="123" t="s">
        <v>528</v>
      </c>
      <c r="C406" s="100" t="s">
        <v>529</v>
      </c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83"/>
      <c r="P406" s="101" t="n">
        <v>666.66</v>
      </c>
      <c r="Q406" s="102" t="s">
        <v>530</v>
      </c>
      <c r="Y406" s="90"/>
      <c r="AG406" s="8"/>
    </row>
    <row r="407" customFormat="false" ht="15.75" hidden="false" customHeight="true" outlineLevel="0" collapsed="false">
      <c r="A407" s="140" t="n">
        <v>45442</v>
      </c>
      <c r="B407" s="125" t="s">
        <v>531</v>
      </c>
      <c r="C407" s="100" t="s">
        <v>424</v>
      </c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83"/>
      <c r="P407" s="101" t="n">
        <v>2450</v>
      </c>
      <c r="Q407" s="102" t="s">
        <v>408</v>
      </c>
      <c r="Y407" s="90"/>
      <c r="AG407" s="8"/>
    </row>
    <row r="408" customFormat="false" ht="15.75" hidden="false" customHeight="true" outlineLevel="0" collapsed="false">
      <c r="A408" s="143"/>
      <c r="B408" s="123"/>
      <c r="C408" s="105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83"/>
      <c r="P408" s="83"/>
      <c r="Q408" s="83"/>
      <c r="Y408" s="90"/>
      <c r="AG408" s="8"/>
    </row>
    <row r="409" customFormat="false" ht="15.75" hidden="false" customHeight="true" outlineLevel="0" collapsed="false">
      <c r="A409" s="143"/>
      <c r="B409" s="123"/>
      <c r="C409" s="105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83"/>
      <c r="P409" s="83"/>
      <c r="Q409" s="83"/>
      <c r="Y409" s="90"/>
      <c r="AG409" s="8"/>
    </row>
    <row r="410" customFormat="false" ht="15.75" hidden="false" customHeight="true" outlineLevel="0" collapsed="false">
      <c r="A410" s="143"/>
      <c r="B410" s="123"/>
      <c r="C410" s="105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83"/>
      <c r="P410" s="83"/>
      <c r="Q410" s="83"/>
      <c r="Y410" s="90"/>
      <c r="AG410" s="8"/>
    </row>
    <row r="411" customFormat="false" ht="15.75" hidden="false" customHeight="true" outlineLevel="0" collapsed="false">
      <c r="A411" s="143"/>
      <c r="B411" s="123"/>
      <c r="C411" s="105"/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83"/>
      <c r="P411" s="83"/>
      <c r="Q411" s="83"/>
      <c r="Y411" s="90"/>
      <c r="AG411" s="8"/>
    </row>
    <row r="412" customFormat="false" ht="15.75" hidden="false" customHeight="true" outlineLevel="0" collapsed="false">
      <c r="A412" s="144"/>
      <c r="B412" s="123"/>
      <c r="C412" s="105"/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17"/>
      <c r="P412" s="117"/>
      <c r="Q412" s="117"/>
      <c r="Y412" s="90"/>
      <c r="AG412" s="8"/>
    </row>
    <row r="413" customFormat="false" ht="14.25" hidden="false" customHeight="true" outlineLevel="0" collapsed="false">
      <c r="B413" s="1"/>
      <c r="Y413" s="90"/>
      <c r="AG413" s="8"/>
    </row>
    <row r="414" customFormat="false" ht="14.25" hidden="false" customHeight="true" outlineLevel="0" collapsed="false">
      <c r="B414" s="1"/>
      <c r="Y414" s="90"/>
      <c r="AG414" s="8"/>
    </row>
    <row r="415" customFormat="false" ht="14.25" hidden="false" customHeight="true" outlineLevel="0" collapsed="false">
      <c r="B415" s="1"/>
      <c r="Y415" s="90"/>
      <c r="AG415" s="8"/>
    </row>
    <row r="416" customFormat="false" ht="15.75" hidden="false" customHeight="true" outlineLevel="0" collapsed="false">
      <c r="B416" s="1"/>
      <c r="Z416" s="90"/>
      <c r="AH416" s="8"/>
    </row>
    <row r="417" customFormat="false" ht="15.75" hidden="false" customHeight="true" outlineLevel="0" collapsed="false">
      <c r="B417" s="1"/>
      <c r="Z417" s="90"/>
      <c r="AH417" s="8"/>
    </row>
    <row r="418" customFormat="false" ht="15.75" hidden="false" customHeight="true" outlineLevel="0" collapsed="false">
      <c r="B418" s="1"/>
      <c r="Z418" s="90"/>
      <c r="AH418" s="8"/>
    </row>
    <row r="419" customFormat="false" ht="15.75" hidden="false" customHeight="true" outlineLevel="0" collapsed="false">
      <c r="B419" s="1"/>
      <c r="Z419" s="90"/>
      <c r="AH419" s="8"/>
    </row>
    <row r="420" customFormat="false" ht="15.75" hidden="false" customHeight="true" outlineLevel="0" collapsed="false">
      <c r="B420" s="1"/>
      <c r="Z420" s="90"/>
      <c r="AH420" s="8"/>
    </row>
    <row r="421" customFormat="false" ht="15.75" hidden="false" customHeight="true" outlineLevel="0" collapsed="false">
      <c r="B421" s="1"/>
      <c r="Z421" s="90"/>
      <c r="AH421" s="8"/>
    </row>
    <row r="422" customFormat="false" ht="15.75" hidden="false" customHeight="true" outlineLevel="0" collapsed="false">
      <c r="B422" s="1"/>
      <c r="Z422" s="90"/>
      <c r="AH422" s="8"/>
    </row>
    <row r="423" customFormat="false" ht="15.75" hidden="false" customHeight="true" outlineLevel="0" collapsed="false">
      <c r="B423" s="1"/>
      <c r="Z423" s="90"/>
      <c r="AH423" s="8"/>
    </row>
    <row r="424" customFormat="false" ht="15.75" hidden="false" customHeight="true" outlineLevel="0" collapsed="false">
      <c r="B424" s="1"/>
      <c r="Z424" s="90"/>
      <c r="AH424" s="8"/>
    </row>
    <row r="425" customFormat="false" ht="15.75" hidden="false" customHeight="true" outlineLevel="0" collapsed="false">
      <c r="B425" s="1"/>
      <c r="Z425" s="90"/>
      <c r="AH425" s="8"/>
    </row>
    <row r="426" customFormat="false" ht="15.75" hidden="false" customHeight="true" outlineLevel="0" collapsed="false">
      <c r="B426" s="1"/>
      <c r="Z426" s="90"/>
      <c r="AH426" s="8"/>
    </row>
    <row r="427" customFormat="false" ht="15.75" hidden="false" customHeight="true" outlineLevel="0" collapsed="false">
      <c r="B427" s="1"/>
      <c r="Z427" s="90"/>
      <c r="AH427" s="8"/>
    </row>
    <row r="428" customFormat="false" ht="15.75" hidden="false" customHeight="true" outlineLevel="0" collapsed="false">
      <c r="B428" s="1"/>
      <c r="Z428" s="90"/>
      <c r="AH428" s="8"/>
    </row>
    <row r="429" customFormat="false" ht="15.75" hidden="false" customHeight="true" outlineLevel="0" collapsed="false">
      <c r="B429" s="1"/>
      <c r="Z429" s="90"/>
      <c r="AH429" s="8"/>
    </row>
    <row r="430" customFormat="false" ht="15.75" hidden="false" customHeight="true" outlineLevel="0" collapsed="false">
      <c r="B430" s="1"/>
      <c r="Z430" s="90"/>
      <c r="AH430" s="8"/>
    </row>
    <row r="431" customFormat="false" ht="15.75" hidden="false" customHeight="true" outlineLevel="0" collapsed="false">
      <c r="B431" s="1"/>
      <c r="Z431" s="90"/>
      <c r="AH431" s="8"/>
    </row>
    <row r="432" customFormat="false" ht="15.75" hidden="false" customHeight="true" outlineLevel="0" collapsed="false">
      <c r="B432" s="1"/>
      <c r="Z432" s="90"/>
      <c r="AH432" s="8"/>
    </row>
    <row r="433" customFormat="false" ht="15.75" hidden="false" customHeight="true" outlineLevel="0" collapsed="false">
      <c r="B433" s="1"/>
      <c r="Z433" s="90"/>
      <c r="AH433" s="8"/>
    </row>
    <row r="434" customFormat="false" ht="15.75" hidden="false" customHeight="true" outlineLevel="0" collapsed="false">
      <c r="B434" s="1"/>
      <c r="Z434" s="90"/>
      <c r="AH434" s="8"/>
    </row>
    <row r="435" customFormat="false" ht="15.75" hidden="false" customHeight="true" outlineLevel="0" collapsed="false">
      <c r="B435" s="1"/>
      <c r="Z435" s="90"/>
      <c r="AH435" s="8"/>
    </row>
    <row r="436" customFormat="false" ht="15.75" hidden="false" customHeight="true" outlineLevel="0" collapsed="false">
      <c r="B436" s="1"/>
      <c r="Z436" s="90"/>
      <c r="AH436" s="8"/>
    </row>
    <row r="437" customFormat="false" ht="15.75" hidden="false" customHeight="true" outlineLevel="0" collapsed="false">
      <c r="B437" s="1"/>
      <c r="Z437" s="90"/>
      <c r="AH437" s="8"/>
    </row>
    <row r="438" customFormat="false" ht="15.75" hidden="false" customHeight="true" outlineLevel="0" collapsed="false">
      <c r="B438" s="1"/>
      <c r="Z438" s="90"/>
      <c r="AH438" s="8"/>
    </row>
    <row r="439" customFormat="false" ht="15.75" hidden="false" customHeight="true" outlineLevel="0" collapsed="false">
      <c r="B439" s="1"/>
      <c r="Z439" s="90"/>
      <c r="AH439" s="8"/>
    </row>
    <row r="440" customFormat="false" ht="15.75" hidden="false" customHeight="true" outlineLevel="0" collapsed="false">
      <c r="B440" s="1"/>
      <c r="Z440" s="90"/>
      <c r="AH440" s="8"/>
    </row>
    <row r="441" customFormat="false" ht="15.75" hidden="false" customHeight="true" outlineLevel="0" collapsed="false">
      <c r="B441" s="1"/>
      <c r="Z441" s="90"/>
      <c r="AH441" s="8"/>
    </row>
    <row r="442" customFormat="false" ht="15.75" hidden="false" customHeight="true" outlineLevel="0" collapsed="false">
      <c r="B442" s="1"/>
      <c r="Z442" s="90"/>
      <c r="AH442" s="8"/>
    </row>
    <row r="443" customFormat="false" ht="15.75" hidden="false" customHeight="true" outlineLevel="0" collapsed="false">
      <c r="B443" s="1"/>
      <c r="Z443" s="90"/>
      <c r="AH443" s="8"/>
    </row>
    <row r="444" customFormat="false" ht="15.75" hidden="false" customHeight="true" outlineLevel="0" collapsed="false">
      <c r="B444" s="1"/>
      <c r="Z444" s="90"/>
      <c r="AH444" s="8"/>
    </row>
    <row r="445" customFormat="false" ht="15.75" hidden="false" customHeight="true" outlineLevel="0" collapsed="false">
      <c r="B445" s="1"/>
      <c r="Z445" s="90"/>
      <c r="AH445" s="8"/>
    </row>
    <row r="446" customFormat="false" ht="15.75" hidden="false" customHeight="true" outlineLevel="0" collapsed="false">
      <c r="B446" s="1"/>
      <c r="Z446" s="90"/>
      <c r="AH446" s="8"/>
    </row>
    <row r="447" customFormat="false" ht="15.75" hidden="false" customHeight="true" outlineLevel="0" collapsed="false">
      <c r="B447" s="1"/>
      <c r="Z447" s="90"/>
      <c r="AH447" s="8"/>
    </row>
    <row r="448" customFormat="false" ht="15.75" hidden="false" customHeight="true" outlineLevel="0" collapsed="false">
      <c r="B448" s="1"/>
      <c r="Z448" s="90"/>
      <c r="AH448" s="8"/>
    </row>
    <row r="449" customFormat="false" ht="15.75" hidden="false" customHeight="true" outlineLevel="0" collapsed="false">
      <c r="B449" s="1"/>
      <c r="Z449" s="90"/>
      <c r="AH449" s="8"/>
    </row>
    <row r="450" customFormat="false" ht="15.75" hidden="false" customHeight="true" outlineLevel="0" collapsed="false">
      <c r="B450" s="1"/>
      <c r="Z450" s="90"/>
      <c r="AH450" s="8"/>
    </row>
    <row r="451" customFormat="false" ht="15.75" hidden="false" customHeight="true" outlineLevel="0" collapsed="false">
      <c r="B451" s="1"/>
      <c r="Z451" s="90"/>
      <c r="AH451" s="8"/>
    </row>
    <row r="452" customFormat="false" ht="15.75" hidden="false" customHeight="true" outlineLevel="0" collapsed="false">
      <c r="B452" s="1"/>
      <c r="Z452" s="90"/>
      <c r="AH452" s="8"/>
    </row>
    <row r="453" customFormat="false" ht="15.75" hidden="false" customHeight="true" outlineLevel="0" collapsed="false">
      <c r="B453" s="1"/>
      <c r="Z453" s="90"/>
      <c r="AH453" s="8"/>
    </row>
    <row r="454" customFormat="false" ht="15.75" hidden="false" customHeight="true" outlineLevel="0" collapsed="false">
      <c r="B454" s="1"/>
      <c r="Z454" s="90"/>
      <c r="AH454" s="8"/>
    </row>
    <row r="455" customFormat="false" ht="15.75" hidden="false" customHeight="true" outlineLevel="0" collapsed="false">
      <c r="B455" s="1"/>
      <c r="Z455" s="90"/>
      <c r="AH455" s="8"/>
    </row>
    <row r="456" customFormat="false" ht="15.75" hidden="false" customHeight="true" outlineLevel="0" collapsed="false">
      <c r="B456" s="1"/>
      <c r="Z456" s="90"/>
      <c r="AH456" s="8"/>
    </row>
    <row r="457" customFormat="false" ht="15.75" hidden="false" customHeight="true" outlineLevel="0" collapsed="false">
      <c r="B457" s="1"/>
      <c r="Z457" s="90"/>
      <c r="AH457" s="8"/>
    </row>
    <row r="458" customFormat="false" ht="15.75" hidden="false" customHeight="true" outlineLevel="0" collapsed="false">
      <c r="B458" s="1"/>
      <c r="Z458" s="90"/>
      <c r="AH458" s="8"/>
    </row>
    <row r="459" customFormat="false" ht="15.75" hidden="false" customHeight="true" outlineLevel="0" collapsed="false">
      <c r="B459" s="1"/>
      <c r="Z459" s="90"/>
      <c r="AH459" s="8"/>
    </row>
    <row r="460" customFormat="false" ht="15.75" hidden="false" customHeight="true" outlineLevel="0" collapsed="false">
      <c r="B460" s="1"/>
      <c r="Z460" s="90"/>
      <c r="AH460" s="8"/>
    </row>
    <row r="461" customFormat="false" ht="15.75" hidden="false" customHeight="true" outlineLevel="0" collapsed="false">
      <c r="B461" s="1"/>
      <c r="Z461" s="90"/>
      <c r="AH461" s="8"/>
    </row>
    <row r="462" customFormat="false" ht="15.75" hidden="false" customHeight="true" outlineLevel="0" collapsed="false">
      <c r="B462" s="1"/>
      <c r="Z462" s="90"/>
      <c r="AH462" s="8"/>
    </row>
    <row r="463" customFormat="false" ht="15.75" hidden="false" customHeight="true" outlineLevel="0" collapsed="false">
      <c r="B463" s="1"/>
      <c r="Z463" s="90"/>
      <c r="AH463" s="8"/>
    </row>
    <row r="464" customFormat="false" ht="15.75" hidden="false" customHeight="true" outlineLevel="0" collapsed="false">
      <c r="B464" s="1"/>
      <c r="Z464" s="90"/>
      <c r="AH464" s="8"/>
    </row>
    <row r="465" customFormat="false" ht="15.75" hidden="false" customHeight="true" outlineLevel="0" collapsed="false">
      <c r="B465" s="1"/>
      <c r="Z465" s="90"/>
      <c r="AH465" s="8"/>
    </row>
    <row r="466" customFormat="false" ht="15.75" hidden="false" customHeight="true" outlineLevel="0" collapsed="false">
      <c r="B466" s="1"/>
      <c r="Z466" s="90"/>
      <c r="AH466" s="8"/>
    </row>
    <row r="467" customFormat="false" ht="15.75" hidden="false" customHeight="true" outlineLevel="0" collapsed="false">
      <c r="B467" s="1"/>
      <c r="Z467" s="90"/>
      <c r="AH467" s="8"/>
    </row>
    <row r="468" customFormat="false" ht="15.75" hidden="false" customHeight="true" outlineLevel="0" collapsed="false">
      <c r="B468" s="1"/>
      <c r="Z468" s="90"/>
      <c r="AH468" s="8"/>
    </row>
    <row r="469" customFormat="false" ht="15.75" hidden="false" customHeight="true" outlineLevel="0" collapsed="false">
      <c r="B469" s="1"/>
      <c r="Z469" s="90"/>
      <c r="AH469" s="8"/>
    </row>
    <row r="470" customFormat="false" ht="15.75" hidden="false" customHeight="true" outlineLevel="0" collapsed="false">
      <c r="B470" s="1"/>
      <c r="Z470" s="90"/>
      <c r="AH470" s="8"/>
    </row>
    <row r="471" customFormat="false" ht="15.75" hidden="false" customHeight="true" outlineLevel="0" collapsed="false">
      <c r="B471" s="1"/>
      <c r="Z471" s="90"/>
      <c r="AH471" s="8"/>
    </row>
    <row r="472" customFormat="false" ht="15.75" hidden="false" customHeight="true" outlineLevel="0" collapsed="false">
      <c r="B472" s="1"/>
      <c r="Z472" s="90"/>
      <c r="AH472" s="8"/>
    </row>
    <row r="473" customFormat="false" ht="15.75" hidden="false" customHeight="true" outlineLevel="0" collapsed="false">
      <c r="B473" s="1"/>
      <c r="Z473" s="90"/>
      <c r="AH473" s="8"/>
    </row>
    <row r="474" customFormat="false" ht="15.75" hidden="false" customHeight="true" outlineLevel="0" collapsed="false">
      <c r="B474" s="1"/>
      <c r="Z474" s="90"/>
      <c r="AH474" s="8"/>
    </row>
    <row r="475" customFormat="false" ht="15.75" hidden="false" customHeight="true" outlineLevel="0" collapsed="false">
      <c r="B475" s="1"/>
      <c r="Z475" s="90"/>
      <c r="AH475" s="8"/>
    </row>
    <row r="476" customFormat="false" ht="15.75" hidden="false" customHeight="true" outlineLevel="0" collapsed="false">
      <c r="B476" s="1"/>
      <c r="Z476" s="90"/>
      <c r="AH476" s="8"/>
    </row>
    <row r="477" customFormat="false" ht="15.75" hidden="false" customHeight="true" outlineLevel="0" collapsed="false">
      <c r="B477" s="1"/>
      <c r="Z477" s="90"/>
      <c r="AH477" s="8"/>
    </row>
    <row r="478" customFormat="false" ht="15.75" hidden="false" customHeight="true" outlineLevel="0" collapsed="false">
      <c r="B478" s="1"/>
      <c r="Z478" s="90"/>
      <c r="AH478" s="8"/>
    </row>
    <row r="479" customFormat="false" ht="15.75" hidden="false" customHeight="true" outlineLevel="0" collapsed="false">
      <c r="B479" s="1"/>
      <c r="Z479" s="90"/>
      <c r="AH479" s="8"/>
    </row>
    <row r="480" customFormat="false" ht="15.75" hidden="false" customHeight="true" outlineLevel="0" collapsed="false">
      <c r="B480" s="1"/>
      <c r="Z480" s="90"/>
      <c r="AH480" s="8"/>
    </row>
    <row r="481" customFormat="false" ht="15.75" hidden="false" customHeight="true" outlineLevel="0" collapsed="false">
      <c r="B481" s="1"/>
      <c r="Z481" s="90"/>
      <c r="AH481" s="8"/>
    </row>
    <row r="482" customFormat="false" ht="15.75" hidden="false" customHeight="true" outlineLevel="0" collapsed="false">
      <c r="B482" s="1"/>
      <c r="Z482" s="90"/>
      <c r="AH482" s="8"/>
    </row>
    <row r="483" customFormat="false" ht="15.75" hidden="false" customHeight="true" outlineLevel="0" collapsed="false">
      <c r="B483" s="1"/>
      <c r="Z483" s="90"/>
      <c r="AH483" s="8"/>
    </row>
    <row r="484" customFormat="false" ht="15.75" hidden="false" customHeight="true" outlineLevel="0" collapsed="false">
      <c r="B484" s="1"/>
      <c r="Z484" s="90"/>
      <c r="AH484" s="8"/>
    </row>
    <row r="485" customFormat="false" ht="15.75" hidden="false" customHeight="true" outlineLevel="0" collapsed="false">
      <c r="B485" s="1"/>
      <c r="Z485" s="90"/>
      <c r="AH485" s="8"/>
    </row>
    <row r="486" customFormat="false" ht="15.75" hidden="false" customHeight="true" outlineLevel="0" collapsed="false">
      <c r="B486" s="1"/>
      <c r="Z486" s="90"/>
      <c r="AH486" s="8"/>
    </row>
    <row r="487" customFormat="false" ht="15.75" hidden="false" customHeight="true" outlineLevel="0" collapsed="false">
      <c r="B487" s="1"/>
      <c r="Z487" s="90"/>
      <c r="AH487" s="8"/>
    </row>
    <row r="488" customFormat="false" ht="15.75" hidden="false" customHeight="true" outlineLevel="0" collapsed="false">
      <c r="B488" s="1"/>
      <c r="Z488" s="90"/>
      <c r="AH488" s="8"/>
    </row>
    <row r="489" customFormat="false" ht="15.75" hidden="false" customHeight="true" outlineLevel="0" collapsed="false">
      <c r="B489" s="1"/>
      <c r="Z489" s="90"/>
      <c r="AH489" s="8"/>
    </row>
    <row r="490" customFormat="false" ht="15.75" hidden="false" customHeight="true" outlineLevel="0" collapsed="false">
      <c r="B490" s="1"/>
      <c r="Z490" s="90"/>
      <c r="AH490" s="8"/>
    </row>
    <row r="491" customFormat="false" ht="15.75" hidden="false" customHeight="true" outlineLevel="0" collapsed="false">
      <c r="B491" s="1"/>
      <c r="Z491" s="90"/>
      <c r="AH491" s="8"/>
    </row>
    <row r="492" customFormat="false" ht="15.75" hidden="false" customHeight="true" outlineLevel="0" collapsed="false">
      <c r="B492" s="1"/>
      <c r="Z492" s="90"/>
      <c r="AH492" s="8"/>
    </row>
    <row r="493" customFormat="false" ht="15.75" hidden="false" customHeight="true" outlineLevel="0" collapsed="false">
      <c r="B493" s="1"/>
      <c r="Z493" s="90"/>
      <c r="AH493" s="8"/>
    </row>
    <row r="494" customFormat="false" ht="15.75" hidden="false" customHeight="true" outlineLevel="0" collapsed="false">
      <c r="B494" s="1"/>
      <c r="Z494" s="90"/>
      <c r="AH494" s="8"/>
    </row>
    <row r="495" customFormat="false" ht="15.75" hidden="false" customHeight="true" outlineLevel="0" collapsed="false">
      <c r="B495" s="1"/>
      <c r="Z495" s="90"/>
      <c r="AH495" s="8"/>
    </row>
    <row r="496" customFormat="false" ht="15.75" hidden="false" customHeight="true" outlineLevel="0" collapsed="false">
      <c r="B496" s="1"/>
      <c r="Z496" s="90"/>
      <c r="AH496" s="8"/>
    </row>
    <row r="497" customFormat="false" ht="15.75" hidden="false" customHeight="true" outlineLevel="0" collapsed="false">
      <c r="B497" s="1"/>
      <c r="Z497" s="90"/>
      <c r="AH497" s="8"/>
    </row>
    <row r="498" customFormat="false" ht="15.75" hidden="false" customHeight="true" outlineLevel="0" collapsed="false">
      <c r="B498" s="1"/>
      <c r="Z498" s="90"/>
      <c r="AH498" s="8"/>
    </row>
    <row r="499" customFormat="false" ht="15.75" hidden="false" customHeight="true" outlineLevel="0" collapsed="false">
      <c r="B499" s="1"/>
      <c r="Z499" s="90"/>
      <c r="AH499" s="8"/>
    </row>
    <row r="500" customFormat="false" ht="15.75" hidden="false" customHeight="true" outlineLevel="0" collapsed="false">
      <c r="B500" s="1"/>
      <c r="Z500" s="90"/>
      <c r="AH500" s="8"/>
    </row>
    <row r="501" customFormat="false" ht="15.75" hidden="false" customHeight="true" outlineLevel="0" collapsed="false">
      <c r="B501" s="1"/>
      <c r="Z501" s="90"/>
      <c r="AH501" s="8"/>
    </row>
    <row r="502" customFormat="false" ht="15.75" hidden="false" customHeight="true" outlineLevel="0" collapsed="false">
      <c r="B502" s="1"/>
      <c r="Z502" s="90"/>
      <c r="AH502" s="8"/>
    </row>
    <row r="503" customFormat="false" ht="15.75" hidden="false" customHeight="true" outlineLevel="0" collapsed="false">
      <c r="B503" s="1"/>
      <c r="Z503" s="90"/>
      <c r="AH503" s="8"/>
    </row>
    <row r="504" customFormat="false" ht="15.75" hidden="false" customHeight="true" outlineLevel="0" collapsed="false">
      <c r="B504" s="1"/>
      <c r="Z504" s="90"/>
      <c r="AH504" s="8"/>
    </row>
    <row r="505" customFormat="false" ht="15.75" hidden="false" customHeight="true" outlineLevel="0" collapsed="false">
      <c r="B505" s="1"/>
      <c r="Z505" s="90"/>
      <c r="AH505" s="8"/>
    </row>
    <row r="506" customFormat="false" ht="15.75" hidden="false" customHeight="true" outlineLevel="0" collapsed="false">
      <c r="B506" s="1"/>
      <c r="Z506" s="90"/>
      <c r="AH506" s="8"/>
    </row>
    <row r="507" customFormat="false" ht="15.75" hidden="false" customHeight="true" outlineLevel="0" collapsed="false">
      <c r="B507" s="1"/>
      <c r="Z507" s="90"/>
      <c r="AH507" s="8"/>
    </row>
    <row r="508" customFormat="false" ht="15.75" hidden="false" customHeight="true" outlineLevel="0" collapsed="false">
      <c r="B508" s="1"/>
      <c r="Z508" s="90"/>
      <c r="AH508" s="8"/>
    </row>
    <row r="509" customFormat="false" ht="15.75" hidden="false" customHeight="true" outlineLevel="0" collapsed="false">
      <c r="B509" s="1"/>
      <c r="Z509" s="90"/>
      <c r="AH509" s="8"/>
    </row>
    <row r="510" customFormat="false" ht="15.75" hidden="false" customHeight="true" outlineLevel="0" collapsed="false">
      <c r="B510" s="1"/>
      <c r="Z510" s="90"/>
      <c r="AH510" s="8"/>
    </row>
    <row r="511" customFormat="false" ht="15.75" hidden="false" customHeight="true" outlineLevel="0" collapsed="false">
      <c r="B511" s="1"/>
      <c r="Z511" s="90"/>
      <c r="AH511" s="8"/>
    </row>
    <row r="512" customFormat="false" ht="15.75" hidden="false" customHeight="true" outlineLevel="0" collapsed="false">
      <c r="B512" s="1"/>
      <c r="Z512" s="90"/>
      <c r="AH512" s="8"/>
    </row>
    <row r="513" customFormat="false" ht="15.75" hidden="false" customHeight="true" outlineLevel="0" collapsed="false">
      <c r="B513" s="1"/>
      <c r="Z513" s="90"/>
      <c r="AH513" s="8"/>
    </row>
    <row r="514" customFormat="false" ht="15.75" hidden="false" customHeight="true" outlineLevel="0" collapsed="false">
      <c r="B514" s="1"/>
      <c r="Z514" s="90"/>
      <c r="AH514" s="8"/>
    </row>
    <row r="515" customFormat="false" ht="15.75" hidden="false" customHeight="true" outlineLevel="0" collapsed="false">
      <c r="B515" s="1"/>
      <c r="Z515" s="90"/>
      <c r="AH515" s="8"/>
    </row>
    <row r="516" customFormat="false" ht="15.75" hidden="false" customHeight="true" outlineLevel="0" collapsed="false">
      <c r="B516" s="1"/>
      <c r="Z516" s="90"/>
      <c r="AH516" s="8"/>
    </row>
    <row r="517" customFormat="false" ht="15.75" hidden="false" customHeight="true" outlineLevel="0" collapsed="false">
      <c r="B517" s="1"/>
      <c r="Z517" s="90"/>
      <c r="AH517" s="8"/>
    </row>
    <row r="518" customFormat="false" ht="15.75" hidden="false" customHeight="true" outlineLevel="0" collapsed="false">
      <c r="B518" s="1"/>
      <c r="Z518" s="90"/>
      <c r="AH518" s="8"/>
    </row>
    <row r="519" customFormat="false" ht="15.75" hidden="false" customHeight="true" outlineLevel="0" collapsed="false">
      <c r="B519" s="1"/>
      <c r="Z519" s="90"/>
      <c r="AH519" s="8"/>
    </row>
    <row r="520" customFormat="false" ht="15.75" hidden="false" customHeight="true" outlineLevel="0" collapsed="false">
      <c r="B520" s="1"/>
      <c r="Z520" s="90"/>
      <c r="AH520" s="8"/>
    </row>
    <row r="521" customFormat="false" ht="15.75" hidden="false" customHeight="true" outlineLevel="0" collapsed="false">
      <c r="A521" s="145"/>
      <c r="B521" s="1"/>
      <c r="Z521" s="90"/>
      <c r="AH521" s="8"/>
    </row>
    <row r="522" customFormat="false" ht="15.75" hidden="false" customHeight="true" outlineLevel="0" collapsed="false">
      <c r="A522" s="145"/>
      <c r="B522" s="1"/>
      <c r="Z522" s="90"/>
      <c r="AH522" s="8"/>
    </row>
    <row r="523" customFormat="false" ht="15.75" hidden="false" customHeight="true" outlineLevel="0" collapsed="false">
      <c r="A523" s="145"/>
      <c r="B523" s="1"/>
      <c r="Z523" s="90"/>
      <c r="AH523" s="8"/>
    </row>
    <row r="524" customFormat="false" ht="15.75" hidden="false" customHeight="true" outlineLevel="0" collapsed="false">
      <c r="A524" s="145"/>
      <c r="B524" s="1"/>
      <c r="Z524" s="90"/>
      <c r="AH524" s="8"/>
    </row>
    <row r="525" customFormat="false" ht="15.75" hidden="false" customHeight="true" outlineLevel="0" collapsed="false">
      <c r="A525" s="145"/>
      <c r="B525" s="1"/>
      <c r="Z525" s="90"/>
      <c r="AH525" s="8"/>
    </row>
    <row r="526" customFormat="false" ht="15.75" hidden="false" customHeight="true" outlineLevel="0" collapsed="false">
      <c r="A526" s="145"/>
      <c r="B526" s="1"/>
      <c r="Z526" s="90"/>
      <c r="AH526" s="8"/>
    </row>
    <row r="527" customFormat="false" ht="15.75" hidden="false" customHeight="true" outlineLevel="0" collapsed="false">
      <c r="A527" s="145"/>
      <c r="B527" s="1"/>
      <c r="Z527" s="90"/>
      <c r="AH527" s="8"/>
    </row>
    <row r="528" customFormat="false" ht="15.75" hidden="false" customHeight="true" outlineLevel="0" collapsed="false">
      <c r="A528" s="145"/>
      <c r="B528" s="1"/>
      <c r="Z528" s="90"/>
      <c r="AH528" s="8"/>
    </row>
    <row r="529" customFormat="false" ht="15.75" hidden="false" customHeight="true" outlineLevel="0" collapsed="false">
      <c r="A529" s="145"/>
      <c r="B529" s="1"/>
      <c r="Z529" s="90"/>
      <c r="AH529" s="8"/>
    </row>
    <row r="530" customFormat="false" ht="15.75" hidden="false" customHeight="true" outlineLevel="0" collapsed="false">
      <c r="A530" s="145"/>
      <c r="B530" s="1"/>
      <c r="Z530" s="90"/>
      <c r="AH530" s="8"/>
    </row>
    <row r="531" customFormat="false" ht="15.75" hidden="false" customHeight="true" outlineLevel="0" collapsed="false">
      <c r="A531" s="145"/>
      <c r="B531" s="1"/>
      <c r="Z531" s="90"/>
      <c r="AH531" s="8"/>
    </row>
    <row r="532" customFormat="false" ht="15.75" hidden="false" customHeight="true" outlineLevel="0" collapsed="false">
      <c r="A532" s="145"/>
      <c r="B532" s="1"/>
      <c r="Z532" s="90"/>
      <c r="AH532" s="8"/>
    </row>
    <row r="533" customFormat="false" ht="15.75" hidden="false" customHeight="true" outlineLevel="0" collapsed="false">
      <c r="A533" s="145"/>
      <c r="B533" s="1"/>
      <c r="Z533" s="90"/>
      <c r="AH533" s="8"/>
    </row>
    <row r="534" customFormat="false" ht="15.75" hidden="false" customHeight="true" outlineLevel="0" collapsed="false">
      <c r="A534" s="145"/>
      <c r="B534" s="1"/>
      <c r="Z534" s="90"/>
      <c r="AH534" s="8"/>
    </row>
    <row r="535" customFormat="false" ht="15.75" hidden="false" customHeight="true" outlineLevel="0" collapsed="false">
      <c r="A535" s="145"/>
      <c r="B535" s="1"/>
      <c r="Z535" s="90"/>
      <c r="AH535" s="8"/>
    </row>
    <row r="536" customFormat="false" ht="15.75" hidden="false" customHeight="true" outlineLevel="0" collapsed="false">
      <c r="A536" s="145"/>
      <c r="B536" s="1"/>
      <c r="Z536" s="90"/>
      <c r="AH536" s="8"/>
    </row>
    <row r="537" customFormat="false" ht="15.75" hidden="false" customHeight="true" outlineLevel="0" collapsed="false">
      <c r="A537" s="145"/>
      <c r="B537" s="1"/>
      <c r="Z537" s="90"/>
      <c r="AH537" s="8"/>
    </row>
    <row r="538" customFormat="false" ht="15.75" hidden="false" customHeight="true" outlineLevel="0" collapsed="false">
      <c r="A538" s="145"/>
      <c r="B538" s="1"/>
      <c r="Z538" s="90"/>
      <c r="AH538" s="8"/>
    </row>
    <row r="539" customFormat="false" ht="15.75" hidden="false" customHeight="true" outlineLevel="0" collapsed="false">
      <c r="A539" s="145"/>
      <c r="B539" s="1"/>
      <c r="Z539" s="90"/>
      <c r="AH539" s="8"/>
    </row>
    <row r="540" customFormat="false" ht="15.75" hidden="false" customHeight="true" outlineLevel="0" collapsed="false">
      <c r="A540" s="145"/>
      <c r="B540" s="1"/>
      <c r="Z540" s="90"/>
      <c r="AH540" s="8"/>
    </row>
    <row r="541" customFormat="false" ht="15.75" hidden="false" customHeight="true" outlineLevel="0" collapsed="false">
      <c r="A541" s="145"/>
      <c r="B541" s="1"/>
      <c r="Z541" s="90"/>
      <c r="AH541" s="8"/>
    </row>
    <row r="542" customFormat="false" ht="15.75" hidden="false" customHeight="true" outlineLevel="0" collapsed="false">
      <c r="A542" s="145"/>
      <c r="B542" s="1"/>
      <c r="Z542" s="90"/>
      <c r="AH542" s="8"/>
    </row>
    <row r="543" customFormat="false" ht="15.75" hidden="false" customHeight="true" outlineLevel="0" collapsed="false">
      <c r="A543" s="145"/>
      <c r="B543" s="1"/>
      <c r="Z543" s="90"/>
      <c r="AH543" s="8"/>
    </row>
    <row r="544" customFormat="false" ht="15.75" hidden="false" customHeight="true" outlineLevel="0" collapsed="false">
      <c r="A544" s="145"/>
      <c r="B544" s="1"/>
      <c r="Z544" s="90"/>
      <c r="AH544" s="8"/>
    </row>
    <row r="545" customFormat="false" ht="15.75" hidden="false" customHeight="true" outlineLevel="0" collapsed="false">
      <c r="A545" s="145"/>
      <c r="B545" s="1"/>
      <c r="Z545" s="90"/>
      <c r="AH545" s="8"/>
    </row>
    <row r="546" customFormat="false" ht="15.75" hidden="false" customHeight="true" outlineLevel="0" collapsed="false">
      <c r="A546" s="145"/>
      <c r="B546" s="1"/>
      <c r="Z546" s="90"/>
      <c r="AH546" s="8"/>
    </row>
    <row r="547" customFormat="false" ht="15.75" hidden="false" customHeight="true" outlineLevel="0" collapsed="false">
      <c r="A547" s="145"/>
      <c r="B547" s="1"/>
      <c r="Z547" s="90"/>
      <c r="AH547" s="8"/>
    </row>
    <row r="548" customFormat="false" ht="15.75" hidden="false" customHeight="true" outlineLevel="0" collapsed="false">
      <c r="A548" s="145"/>
      <c r="B548" s="1"/>
      <c r="Z548" s="90"/>
      <c r="AH548" s="8"/>
    </row>
    <row r="549" customFormat="false" ht="15.75" hidden="false" customHeight="true" outlineLevel="0" collapsed="false">
      <c r="A549" s="145"/>
      <c r="B549" s="1"/>
      <c r="Z549" s="90"/>
      <c r="AH549" s="8"/>
    </row>
    <row r="550" customFormat="false" ht="15.75" hidden="false" customHeight="true" outlineLevel="0" collapsed="false">
      <c r="A550" s="145"/>
      <c r="B550" s="1"/>
      <c r="Z550" s="90"/>
      <c r="AH550" s="8"/>
    </row>
    <row r="551" customFormat="false" ht="15.75" hidden="false" customHeight="true" outlineLevel="0" collapsed="false">
      <c r="A551" s="145"/>
      <c r="B551" s="1"/>
      <c r="Z551" s="90"/>
      <c r="AH551" s="8"/>
    </row>
    <row r="552" customFormat="false" ht="15.75" hidden="false" customHeight="true" outlineLevel="0" collapsed="false">
      <c r="A552" s="145"/>
      <c r="B552" s="1"/>
      <c r="Z552" s="90"/>
      <c r="AH552" s="8"/>
    </row>
    <row r="553" customFormat="false" ht="15.75" hidden="false" customHeight="true" outlineLevel="0" collapsed="false">
      <c r="A553" s="145"/>
      <c r="B553" s="1"/>
      <c r="Z553" s="90"/>
      <c r="AH553" s="8"/>
    </row>
    <row r="554" customFormat="false" ht="15.75" hidden="false" customHeight="true" outlineLevel="0" collapsed="false">
      <c r="A554" s="145"/>
      <c r="B554" s="1"/>
      <c r="Z554" s="90"/>
      <c r="AH554" s="8"/>
    </row>
    <row r="555" customFormat="false" ht="15.75" hidden="false" customHeight="true" outlineLevel="0" collapsed="false">
      <c r="A555" s="145"/>
      <c r="B555" s="1"/>
      <c r="Z555" s="90"/>
      <c r="AH555" s="8"/>
    </row>
    <row r="556" customFormat="false" ht="15.75" hidden="false" customHeight="true" outlineLevel="0" collapsed="false">
      <c r="A556" s="145"/>
      <c r="B556" s="1"/>
      <c r="Z556" s="90"/>
      <c r="AH556" s="8"/>
    </row>
    <row r="557" customFormat="false" ht="15.75" hidden="false" customHeight="true" outlineLevel="0" collapsed="false">
      <c r="A557" s="145"/>
      <c r="B557" s="1"/>
      <c r="Z557" s="90"/>
      <c r="AH557" s="8"/>
    </row>
    <row r="558" customFormat="false" ht="15.75" hidden="false" customHeight="true" outlineLevel="0" collapsed="false">
      <c r="A558" s="145"/>
      <c r="B558" s="1"/>
      <c r="Z558" s="90"/>
      <c r="AH558" s="8"/>
    </row>
    <row r="559" customFormat="false" ht="15.75" hidden="false" customHeight="true" outlineLevel="0" collapsed="false">
      <c r="A559" s="145"/>
      <c r="B559" s="1"/>
      <c r="Z559" s="90"/>
      <c r="AH559" s="8"/>
    </row>
    <row r="560" customFormat="false" ht="15.75" hidden="false" customHeight="true" outlineLevel="0" collapsed="false">
      <c r="A560" s="145"/>
      <c r="B560" s="1"/>
      <c r="Z560" s="90"/>
      <c r="AH560" s="8"/>
    </row>
    <row r="561" customFormat="false" ht="15.75" hidden="false" customHeight="true" outlineLevel="0" collapsed="false">
      <c r="A561" s="145"/>
      <c r="B561" s="1"/>
      <c r="Z561" s="90"/>
      <c r="AH561" s="8"/>
    </row>
    <row r="562" customFormat="false" ht="15.75" hidden="false" customHeight="true" outlineLevel="0" collapsed="false">
      <c r="A562" s="145"/>
      <c r="B562" s="1"/>
      <c r="Z562" s="90"/>
      <c r="AH562" s="8"/>
    </row>
    <row r="563" customFormat="false" ht="15.75" hidden="false" customHeight="true" outlineLevel="0" collapsed="false">
      <c r="A563" s="145"/>
      <c r="B563" s="1"/>
      <c r="Z563" s="90"/>
      <c r="AH563" s="8"/>
    </row>
    <row r="564" customFormat="false" ht="15.75" hidden="false" customHeight="true" outlineLevel="0" collapsed="false">
      <c r="A564" s="145"/>
      <c r="B564" s="1"/>
      <c r="Z564" s="90"/>
      <c r="AH564" s="8"/>
    </row>
    <row r="565" customFormat="false" ht="15.75" hidden="false" customHeight="true" outlineLevel="0" collapsed="false">
      <c r="A565" s="145"/>
      <c r="B565" s="1"/>
      <c r="Z565" s="90"/>
      <c r="AH565" s="8"/>
    </row>
    <row r="566" customFormat="false" ht="15.75" hidden="false" customHeight="true" outlineLevel="0" collapsed="false">
      <c r="A566" s="145"/>
      <c r="B566" s="1"/>
      <c r="Z566" s="90"/>
      <c r="AH566" s="8"/>
    </row>
    <row r="567" customFormat="false" ht="15.75" hidden="false" customHeight="true" outlineLevel="0" collapsed="false">
      <c r="A567" s="145"/>
      <c r="B567" s="1"/>
      <c r="Z567" s="90"/>
      <c r="AH567" s="8"/>
    </row>
    <row r="568" customFormat="false" ht="15.75" hidden="false" customHeight="true" outlineLevel="0" collapsed="false">
      <c r="A568" s="145"/>
      <c r="B568" s="1"/>
      <c r="Z568" s="90"/>
      <c r="AH568" s="8"/>
    </row>
    <row r="569" customFormat="false" ht="15.75" hidden="false" customHeight="true" outlineLevel="0" collapsed="false">
      <c r="A569" s="145"/>
      <c r="B569" s="1"/>
      <c r="Z569" s="90"/>
      <c r="AH569" s="8"/>
    </row>
    <row r="570" customFormat="false" ht="15.75" hidden="false" customHeight="true" outlineLevel="0" collapsed="false">
      <c r="A570" s="145"/>
      <c r="B570" s="1"/>
      <c r="Z570" s="90"/>
      <c r="AH570" s="8"/>
    </row>
    <row r="571" customFormat="false" ht="15.75" hidden="false" customHeight="true" outlineLevel="0" collapsed="false">
      <c r="A571" s="145"/>
      <c r="B571" s="1"/>
      <c r="Z571" s="90"/>
      <c r="AH571" s="8"/>
    </row>
    <row r="572" customFormat="false" ht="15.75" hidden="false" customHeight="true" outlineLevel="0" collapsed="false">
      <c r="A572" s="145"/>
      <c r="B572" s="1"/>
      <c r="Z572" s="90"/>
      <c r="AH572" s="8"/>
    </row>
    <row r="573" customFormat="false" ht="15.75" hidden="false" customHeight="true" outlineLevel="0" collapsed="false">
      <c r="A573" s="145"/>
      <c r="B573" s="1"/>
      <c r="Z573" s="90"/>
      <c r="AH573" s="8"/>
    </row>
    <row r="574" customFormat="false" ht="15.75" hidden="false" customHeight="true" outlineLevel="0" collapsed="false">
      <c r="A574" s="145"/>
      <c r="B574" s="1"/>
      <c r="Z574" s="90"/>
      <c r="AH574" s="8"/>
    </row>
    <row r="575" customFormat="false" ht="15.75" hidden="false" customHeight="true" outlineLevel="0" collapsed="false">
      <c r="A575" s="145"/>
      <c r="B575" s="1"/>
      <c r="Z575" s="90"/>
      <c r="AH575" s="8"/>
    </row>
    <row r="576" customFormat="false" ht="15.75" hidden="false" customHeight="true" outlineLevel="0" collapsed="false">
      <c r="A576" s="145"/>
      <c r="B576" s="1"/>
      <c r="Z576" s="90"/>
      <c r="AH576" s="8"/>
    </row>
    <row r="577" customFormat="false" ht="15.75" hidden="false" customHeight="true" outlineLevel="0" collapsed="false">
      <c r="A577" s="145"/>
      <c r="B577" s="1"/>
      <c r="Z577" s="90"/>
      <c r="AH577" s="8"/>
    </row>
    <row r="578" customFormat="false" ht="15.75" hidden="false" customHeight="true" outlineLevel="0" collapsed="false">
      <c r="A578" s="145"/>
      <c r="B578" s="1"/>
      <c r="Z578" s="90"/>
      <c r="AH578" s="8"/>
    </row>
    <row r="579" customFormat="false" ht="15.75" hidden="false" customHeight="true" outlineLevel="0" collapsed="false">
      <c r="A579" s="145"/>
      <c r="B579" s="1"/>
      <c r="Z579" s="90"/>
      <c r="AH579" s="8"/>
    </row>
    <row r="580" customFormat="false" ht="15.75" hidden="false" customHeight="true" outlineLevel="0" collapsed="false">
      <c r="A580" s="145"/>
      <c r="B580" s="1"/>
      <c r="Z580" s="90"/>
      <c r="AH580" s="8"/>
    </row>
    <row r="581" customFormat="false" ht="15.75" hidden="false" customHeight="true" outlineLevel="0" collapsed="false">
      <c r="A581" s="145"/>
      <c r="B581" s="1"/>
      <c r="Z581" s="90"/>
      <c r="AH581" s="8"/>
    </row>
    <row r="582" customFormat="false" ht="15.75" hidden="false" customHeight="true" outlineLevel="0" collapsed="false">
      <c r="A582" s="145"/>
    </row>
    <row r="583" customFormat="false" ht="15.75" hidden="false" customHeight="true" outlineLevel="0" collapsed="false">
      <c r="A583" s="145"/>
    </row>
    <row r="584" customFormat="false" ht="15.75" hidden="false" customHeight="true" outlineLevel="0" collapsed="false">
      <c r="A584" s="145"/>
    </row>
    <row r="585" customFormat="false" ht="15.75" hidden="false" customHeight="true" outlineLevel="0" collapsed="false">
      <c r="A585" s="145"/>
    </row>
    <row r="586" customFormat="false" ht="15.75" hidden="false" customHeight="true" outlineLevel="0" collapsed="false">
      <c r="A586" s="145"/>
    </row>
    <row r="587" customFormat="false" ht="15.75" hidden="false" customHeight="true" outlineLevel="0" collapsed="false">
      <c r="A587" s="145"/>
    </row>
    <row r="588" customFormat="false" ht="15.75" hidden="false" customHeight="true" outlineLevel="0" collapsed="false">
      <c r="A588" s="145"/>
    </row>
    <row r="589" customFormat="false" ht="15.75" hidden="false" customHeight="true" outlineLevel="0" collapsed="false">
      <c r="A589" s="145"/>
    </row>
    <row r="590" customFormat="false" ht="15.75" hidden="false" customHeight="true" outlineLevel="0" collapsed="false">
      <c r="A590" s="145"/>
    </row>
    <row r="591" customFormat="false" ht="15.75" hidden="false" customHeight="true" outlineLevel="0" collapsed="false">
      <c r="A591" s="145"/>
    </row>
    <row r="592" customFormat="false" ht="15.75" hidden="false" customHeight="true" outlineLevel="0" collapsed="false">
      <c r="A592" s="145"/>
    </row>
    <row r="593" customFormat="false" ht="15.75" hidden="false" customHeight="true" outlineLevel="0" collapsed="false">
      <c r="A593" s="145"/>
    </row>
    <row r="594" customFormat="false" ht="15.75" hidden="false" customHeight="true" outlineLevel="0" collapsed="false">
      <c r="A594" s="145"/>
    </row>
    <row r="595" customFormat="false" ht="15.75" hidden="false" customHeight="true" outlineLevel="0" collapsed="false">
      <c r="A595" s="145"/>
    </row>
    <row r="596" customFormat="false" ht="15.75" hidden="false" customHeight="true" outlineLevel="0" collapsed="false">
      <c r="A596" s="145"/>
    </row>
    <row r="597" customFormat="false" ht="15.75" hidden="false" customHeight="true" outlineLevel="0" collapsed="false">
      <c r="A597" s="145"/>
    </row>
    <row r="598" customFormat="false" ht="15.75" hidden="false" customHeight="true" outlineLevel="0" collapsed="false">
      <c r="A598" s="145"/>
    </row>
    <row r="599" customFormat="false" ht="15.75" hidden="false" customHeight="true" outlineLevel="0" collapsed="false">
      <c r="A599" s="145"/>
    </row>
    <row r="600" customFormat="false" ht="15.75" hidden="false" customHeight="true" outlineLevel="0" collapsed="false">
      <c r="A600" s="145"/>
    </row>
    <row r="601" customFormat="false" ht="15.75" hidden="false" customHeight="true" outlineLevel="0" collapsed="false">
      <c r="A601" s="145"/>
    </row>
    <row r="602" customFormat="false" ht="15.75" hidden="false" customHeight="true" outlineLevel="0" collapsed="false">
      <c r="A602" s="145"/>
    </row>
    <row r="603" customFormat="false" ht="15.75" hidden="false" customHeight="true" outlineLevel="0" collapsed="false">
      <c r="A603" s="145"/>
    </row>
    <row r="604" customFormat="false" ht="15.75" hidden="false" customHeight="true" outlineLevel="0" collapsed="false">
      <c r="A604" s="145"/>
    </row>
    <row r="605" customFormat="false" ht="15.75" hidden="false" customHeight="true" outlineLevel="0" collapsed="false">
      <c r="A605" s="145"/>
    </row>
    <row r="606" customFormat="false" ht="15.75" hidden="false" customHeight="true" outlineLevel="0" collapsed="false">
      <c r="A606" s="145"/>
    </row>
    <row r="607" customFormat="false" ht="15.75" hidden="false" customHeight="true" outlineLevel="0" collapsed="false">
      <c r="A607" s="145"/>
    </row>
    <row r="608" customFormat="false" ht="15.75" hidden="false" customHeight="true" outlineLevel="0" collapsed="false">
      <c r="A608" s="145"/>
    </row>
    <row r="609" customFormat="false" ht="15.75" hidden="false" customHeight="true" outlineLevel="0" collapsed="false">
      <c r="A609" s="145"/>
    </row>
    <row r="610" customFormat="false" ht="15.75" hidden="false" customHeight="true" outlineLevel="0" collapsed="false">
      <c r="A610" s="145"/>
    </row>
    <row r="611" customFormat="false" ht="15.75" hidden="false" customHeight="true" outlineLevel="0" collapsed="false">
      <c r="A611" s="145"/>
    </row>
    <row r="612" customFormat="false" ht="15.75" hidden="false" customHeight="true" outlineLevel="0" collapsed="false">
      <c r="A612" s="145"/>
    </row>
    <row r="613" customFormat="false" ht="15.75" hidden="false" customHeight="true" outlineLevel="0" collapsed="false">
      <c r="A613" s="145"/>
    </row>
    <row r="614" customFormat="false" ht="15.75" hidden="false" customHeight="true" outlineLevel="0" collapsed="false">
      <c r="A614" s="145"/>
    </row>
    <row r="615" customFormat="false" ht="15.75" hidden="false" customHeight="true" outlineLevel="0" collapsed="false">
      <c r="A615" s="145"/>
    </row>
    <row r="616" customFormat="false" ht="15.75" hidden="false" customHeight="true" outlineLevel="0" collapsed="false">
      <c r="A616" s="145"/>
    </row>
    <row r="617" customFormat="false" ht="15.75" hidden="false" customHeight="true" outlineLevel="0" collapsed="false">
      <c r="A617" s="145"/>
    </row>
    <row r="618" customFormat="false" ht="15.75" hidden="false" customHeight="true" outlineLevel="0" collapsed="false">
      <c r="A618" s="145"/>
    </row>
    <row r="619" customFormat="false" ht="15.75" hidden="false" customHeight="true" outlineLevel="0" collapsed="false">
      <c r="A619" s="145"/>
    </row>
    <row r="620" customFormat="false" ht="15.75" hidden="false" customHeight="true" outlineLevel="0" collapsed="false">
      <c r="A620" s="145"/>
    </row>
    <row r="621" customFormat="false" ht="15.75" hidden="false" customHeight="true" outlineLevel="0" collapsed="false">
      <c r="A621" s="145"/>
    </row>
    <row r="622" customFormat="false" ht="15.75" hidden="false" customHeight="true" outlineLevel="0" collapsed="false">
      <c r="A622" s="145"/>
    </row>
    <row r="623" customFormat="false" ht="15.75" hidden="false" customHeight="true" outlineLevel="0" collapsed="false">
      <c r="A623" s="145"/>
    </row>
    <row r="624" customFormat="false" ht="15.75" hidden="false" customHeight="true" outlineLevel="0" collapsed="false">
      <c r="A624" s="145"/>
    </row>
    <row r="625" customFormat="false" ht="15.75" hidden="false" customHeight="true" outlineLevel="0" collapsed="false">
      <c r="A625" s="145"/>
    </row>
    <row r="626" customFormat="false" ht="15.75" hidden="false" customHeight="true" outlineLevel="0" collapsed="false">
      <c r="A626" s="145"/>
    </row>
    <row r="627" customFormat="false" ht="15.75" hidden="false" customHeight="true" outlineLevel="0" collapsed="false">
      <c r="A627" s="145"/>
    </row>
    <row r="628" customFormat="false" ht="15.75" hidden="false" customHeight="true" outlineLevel="0" collapsed="false">
      <c r="A628" s="145"/>
    </row>
    <row r="629" customFormat="false" ht="15.75" hidden="false" customHeight="true" outlineLevel="0" collapsed="false">
      <c r="A629" s="145"/>
    </row>
    <row r="630" customFormat="false" ht="15.75" hidden="false" customHeight="true" outlineLevel="0" collapsed="false">
      <c r="A630" s="145"/>
    </row>
    <row r="631" customFormat="false" ht="15.75" hidden="false" customHeight="true" outlineLevel="0" collapsed="false">
      <c r="A631" s="145"/>
    </row>
    <row r="632" customFormat="false" ht="15.75" hidden="false" customHeight="true" outlineLevel="0" collapsed="false">
      <c r="A632" s="145"/>
    </row>
    <row r="633" customFormat="false" ht="15.75" hidden="false" customHeight="true" outlineLevel="0" collapsed="false">
      <c r="A633" s="145"/>
    </row>
    <row r="634" customFormat="false" ht="15.75" hidden="false" customHeight="true" outlineLevel="0" collapsed="false">
      <c r="A634" s="145"/>
    </row>
    <row r="635" customFormat="false" ht="15.75" hidden="false" customHeight="true" outlineLevel="0" collapsed="false">
      <c r="A635" s="145"/>
    </row>
    <row r="636" customFormat="false" ht="15.75" hidden="false" customHeight="true" outlineLevel="0" collapsed="false">
      <c r="A636" s="145"/>
    </row>
    <row r="637" customFormat="false" ht="15.75" hidden="false" customHeight="true" outlineLevel="0" collapsed="false">
      <c r="A637" s="145"/>
    </row>
    <row r="638" customFormat="false" ht="15.75" hidden="false" customHeight="true" outlineLevel="0" collapsed="false">
      <c r="A638" s="145"/>
    </row>
    <row r="639" customFormat="false" ht="15.75" hidden="false" customHeight="true" outlineLevel="0" collapsed="false">
      <c r="A639" s="145"/>
    </row>
    <row r="640" customFormat="false" ht="15.75" hidden="false" customHeight="true" outlineLevel="0" collapsed="false">
      <c r="A640" s="145"/>
    </row>
    <row r="641" customFormat="false" ht="15.75" hidden="false" customHeight="true" outlineLevel="0" collapsed="false">
      <c r="A641" s="145"/>
    </row>
    <row r="642" customFormat="false" ht="15.75" hidden="false" customHeight="true" outlineLevel="0" collapsed="false">
      <c r="A642" s="145"/>
    </row>
    <row r="643" customFormat="false" ht="15.75" hidden="false" customHeight="true" outlineLevel="0" collapsed="false">
      <c r="A643" s="145"/>
    </row>
    <row r="644" customFormat="false" ht="15.75" hidden="false" customHeight="true" outlineLevel="0" collapsed="false">
      <c r="A644" s="145"/>
    </row>
    <row r="645" customFormat="false" ht="15.75" hidden="false" customHeight="true" outlineLevel="0" collapsed="false">
      <c r="A645" s="145"/>
    </row>
    <row r="646" customFormat="false" ht="15.75" hidden="false" customHeight="true" outlineLevel="0" collapsed="false">
      <c r="A646" s="145"/>
    </row>
    <row r="647" customFormat="false" ht="15.75" hidden="false" customHeight="true" outlineLevel="0" collapsed="false">
      <c r="A647" s="145"/>
    </row>
    <row r="648" customFormat="false" ht="15.75" hidden="false" customHeight="true" outlineLevel="0" collapsed="false">
      <c r="A648" s="145"/>
    </row>
    <row r="649" customFormat="false" ht="15.75" hidden="false" customHeight="true" outlineLevel="0" collapsed="false">
      <c r="A649" s="145"/>
    </row>
    <row r="650" customFormat="false" ht="15.75" hidden="false" customHeight="true" outlineLevel="0" collapsed="false">
      <c r="A650" s="145"/>
    </row>
    <row r="651" customFormat="false" ht="15.75" hidden="false" customHeight="true" outlineLevel="0" collapsed="false">
      <c r="A651" s="145"/>
    </row>
    <row r="652" customFormat="false" ht="15.75" hidden="false" customHeight="true" outlineLevel="0" collapsed="false">
      <c r="A652" s="145"/>
    </row>
    <row r="653" customFormat="false" ht="15.75" hidden="false" customHeight="true" outlineLevel="0" collapsed="false">
      <c r="A653" s="145"/>
    </row>
    <row r="654" customFormat="false" ht="15.75" hidden="false" customHeight="true" outlineLevel="0" collapsed="false">
      <c r="A654" s="145"/>
    </row>
    <row r="655" customFormat="false" ht="15.75" hidden="false" customHeight="true" outlineLevel="0" collapsed="false">
      <c r="A655" s="145"/>
    </row>
    <row r="656" customFormat="false" ht="15.75" hidden="false" customHeight="true" outlineLevel="0" collapsed="false">
      <c r="A656" s="145"/>
    </row>
    <row r="657" customFormat="false" ht="15.75" hidden="false" customHeight="true" outlineLevel="0" collapsed="false">
      <c r="A657" s="145"/>
    </row>
    <row r="658" customFormat="false" ht="15.75" hidden="false" customHeight="true" outlineLevel="0" collapsed="false">
      <c r="A658" s="145"/>
    </row>
    <row r="659" customFormat="false" ht="15.75" hidden="false" customHeight="true" outlineLevel="0" collapsed="false">
      <c r="A659" s="145"/>
    </row>
    <row r="660" customFormat="false" ht="15.75" hidden="false" customHeight="true" outlineLevel="0" collapsed="false">
      <c r="A660" s="145"/>
    </row>
    <row r="661" customFormat="false" ht="15.75" hidden="false" customHeight="true" outlineLevel="0" collapsed="false">
      <c r="A661" s="145"/>
    </row>
    <row r="662" customFormat="false" ht="15.75" hidden="false" customHeight="true" outlineLevel="0" collapsed="false">
      <c r="A662" s="145"/>
    </row>
    <row r="663" customFormat="false" ht="15.75" hidden="false" customHeight="true" outlineLevel="0" collapsed="false">
      <c r="A663" s="145"/>
    </row>
    <row r="664" customFormat="false" ht="15.75" hidden="false" customHeight="true" outlineLevel="0" collapsed="false">
      <c r="A664" s="145"/>
    </row>
    <row r="665" customFormat="false" ht="15.75" hidden="false" customHeight="true" outlineLevel="0" collapsed="false">
      <c r="A665" s="145"/>
    </row>
    <row r="666" customFormat="false" ht="15.75" hidden="false" customHeight="true" outlineLevel="0" collapsed="false">
      <c r="A666" s="145"/>
    </row>
    <row r="667" customFormat="false" ht="15.75" hidden="false" customHeight="true" outlineLevel="0" collapsed="false">
      <c r="A667" s="145"/>
    </row>
    <row r="668" customFormat="false" ht="15.75" hidden="false" customHeight="true" outlineLevel="0" collapsed="false">
      <c r="A668" s="145"/>
    </row>
    <row r="669" customFormat="false" ht="15.75" hidden="false" customHeight="true" outlineLevel="0" collapsed="false">
      <c r="A669" s="145"/>
    </row>
    <row r="670" customFormat="false" ht="15.75" hidden="false" customHeight="true" outlineLevel="0" collapsed="false">
      <c r="A670" s="145"/>
    </row>
    <row r="671" customFormat="false" ht="15.75" hidden="false" customHeight="true" outlineLevel="0" collapsed="false">
      <c r="A671" s="145"/>
    </row>
    <row r="672" customFormat="false" ht="15.75" hidden="false" customHeight="true" outlineLevel="0" collapsed="false">
      <c r="A672" s="145"/>
    </row>
    <row r="673" customFormat="false" ht="15.75" hidden="false" customHeight="true" outlineLevel="0" collapsed="false">
      <c r="A673" s="145"/>
    </row>
    <row r="674" customFormat="false" ht="15.75" hidden="false" customHeight="true" outlineLevel="0" collapsed="false">
      <c r="A674" s="145"/>
    </row>
    <row r="675" customFormat="false" ht="15.75" hidden="false" customHeight="true" outlineLevel="0" collapsed="false">
      <c r="A675" s="145"/>
    </row>
    <row r="676" customFormat="false" ht="15.75" hidden="false" customHeight="true" outlineLevel="0" collapsed="false">
      <c r="A676" s="145"/>
    </row>
    <row r="677" customFormat="false" ht="15.75" hidden="false" customHeight="true" outlineLevel="0" collapsed="false">
      <c r="A677" s="145"/>
    </row>
    <row r="678" customFormat="false" ht="15.75" hidden="false" customHeight="true" outlineLevel="0" collapsed="false">
      <c r="A678" s="145"/>
    </row>
    <row r="679" customFormat="false" ht="15.75" hidden="false" customHeight="true" outlineLevel="0" collapsed="false">
      <c r="A679" s="145"/>
    </row>
    <row r="680" customFormat="false" ht="15.75" hidden="false" customHeight="true" outlineLevel="0" collapsed="false">
      <c r="A680" s="145"/>
    </row>
    <row r="681" customFormat="false" ht="15.75" hidden="false" customHeight="true" outlineLevel="0" collapsed="false">
      <c r="A681" s="145"/>
    </row>
    <row r="682" customFormat="false" ht="15.75" hidden="false" customHeight="true" outlineLevel="0" collapsed="false">
      <c r="A682" s="145"/>
    </row>
    <row r="683" customFormat="false" ht="15.75" hidden="false" customHeight="true" outlineLevel="0" collapsed="false">
      <c r="A683" s="145"/>
    </row>
    <row r="684" customFormat="false" ht="15.75" hidden="false" customHeight="true" outlineLevel="0" collapsed="false">
      <c r="A684" s="145"/>
    </row>
    <row r="685" customFormat="false" ht="15.75" hidden="false" customHeight="true" outlineLevel="0" collapsed="false">
      <c r="A685" s="145"/>
    </row>
    <row r="686" customFormat="false" ht="15.75" hidden="false" customHeight="true" outlineLevel="0" collapsed="false">
      <c r="A686" s="145"/>
    </row>
    <row r="687" customFormat="false" ht="15.75" hidden="false" customHeight="true" outlineLevel="0" collapsed="false">
      <c r="A687" s="145"/>
    </row>
    <row r="688" customFormat="false" ht="15.75" hidden="false" customHeight="true" outlineLevel="0" collapsed="false">
      <c r="A688" s="145"/>
    </row>
    <row r="689" customFormat="false" ht="15.75" hidden="false" customHeight="true" outlineLevel="0" collapsed="false">
      <c r="A689" s="145"/>
    </row>
    <row r="690" customFormat="false" ht="15.75" hidden="false" customHeight="true" outlineLevel="0" collapsed="false">
      <c r="A690" s="145"/>
    </row>
    <row r="691" customFormat="false" ht="15.75" hidden="false" customHeight="true" outlineLevel="0" collapsed="false">
      <c r="A691" s="145"/>
    </row>
    <row r="692" customFormat="false" ht="15.75" hidden="false" customHeight="true" outlineLevel="0" collapsed="false">
      <c r="A692" s="145"/>
    </row>
    <row r="693" customFormat="false" ht="15.75" hidden="false" customHeight="true" outlineLevel="0" collapsed="false">
      <c r="A693" s="145"/>
    </row>
    <row r="694" customFormat="false" ht="15.75" hidden="false" customHeight="true" outlineLevel="0" collapsed="false">
      <c r="A694" s="145"/>
    </row>
    <row r="695" customFormat="false" ht="15.75" hidden="false" customHeight="true" outlineLevel="0" collapsed="false">
      <c r="A695" s="145"/>
    </row>
    <row r="696" customFormat="false" ht="15.75" hidden="false" customHeight="true" outlineLevel="0" collapsed="false">
      <c r="A696" s="145"/>
    </row>
    <row r="697" customFormat="false" ht="15.75" hidden="false" customHeight="true" outlineLevel="0" collapsed="false">
      <c r="A697" s="145"/>
    </row>
    <row r="698" customFormat="false" ht="15.75" hidden="false" customHeight="true" outlineLevel="0" collapsed="false">
      <c r="A698" s="145"/>
    </row>
    <row r="699" customFormat="false" ht="15.75" hidden="false" customHeight="true" outlineLevel="0" collapsed="false">
      <c r="A699" s="145"/>
    </row>
    <row r="700" customFormat="false" ht="15.75" hidden="false" customHeight="true" outlineLevel="0" collapsed="false">
      <c r="A700" s="145"/>
    </row>
    <row r="701" customFormat="false" ht="15.75" hidden="false" customHeight="true" outlineLevel="0" collapsed="false">
      <c r="A701" s="145"/>
    </row>
    <row r="702" customFormat="false" ht="15.75" hidden="false" customHeight="true" outlineLevel="0" collapsed="false">
      <c r="A702" s="145"/>
    </row>
    <row r="703" customFormat="false" ht="15.75" hidden="false" customHeight="true" outlineLevel="0" collapsed="false">
      <c r="A703" s="145"/>
    </row>
    <row r="704" customFormat="false" ht="15.75" hidden="false" customHeight="true" outlineLevel="0" collapsed="false">
      <c r="A704" s="145"/>
    </row>
    <row r="705" customFormat="false" ht="15.75" hidden="false" customHeight="true" outlineLevel="0" collapsed="false">
      <c r="A705" s="145"/>
    </row>
    <row r="706" customFormat="false" ht="15.75" hidden="false" customHeight="true" outlineLevel="0" collapsed="false">
      <c r="A706" s="145"/>
    </row>
    <row r="707" customFormat="false" ht="15.75" hidden="false" customHeight="true" outlineLevel="0" collapsed="false">
      <c r="A707" s="145"/>
    </row>
    <row r="708" customFormat="false" ht="15.75" hidden="false" customHeight="true" outlineLevel="0" collapsed="false">
      <c r="A708" s="145"/>
    </row>
    <row r="709" customFormat="false" ht="15.75" hidden="false" customHeight="true" outlineLevel="0" collapsed="false">
      <c r="A709" s="145"/>
    </row>
    <row r="710" customFormat="false" ht="15.75" hidden="false" customHeight="true" outlineLevel="0" collapsed="false">
      <c r="A710" s="145"/>
    </row>
    <row r="711" customFormat="false" ht="15.75" hidden="false" customHeight="true" outlineLevel="0" collapsed="false">
      <c r="A711" s="145"/>
    </row>
    <row r="712" customFormat="false" ht="15.75" hidden="false" customHeight="true" outlineLevel="0" collapsed="false">
      <c r="A712" s="145"/>
    </row>
    <row r="713" customFormat="false" ht="15.75" hidden="false" customHeight="true" outlineLevel="0" collapsed="false">
      <c r="A713" s="145"/>
    </row>
    <row r="714" customFormat="false" ht="15.75" hidden="false" customHeight="true" outlineLevel="0" collapsed="false">
      <c r="A714" s="145"/>
    </row>
    <row r="715" customFormat="false" ht="15.75" hidden="false" customHeight="true" outlineLevel="0" collapsed="false">
      <c r="A715" s="145"/>
    </row>
    <row r="716" customFormat="false" ht="15.75" hidden="false" customHeight="true" outlineLevel="0" collapsed="false">
      <c r="A716" s="145"/>
    </row>
    <row r="717" customFormat="false" ht="15.75" hidden="false" customHeight="true" outlineLevel="0" collapsed="false">
      <c r="A717" s="145"/>
    </row>
    <row r="718" customFormat="false" ht="15.75" hidden="false" customHeight="true" outlineLevel="0" collapsed="false">
      <c r="A718" s="145"/>
    </row>
    <row r="719" customFormat="false" ht="15.75" hidden="false" customHeight="true" outlineLevel="0" collapsed="false">
      <c r="A719" s="145"/>
    </row>
    <row r="720" customFormat="false" ht="15.75" hidden="false" customHeight="true" outlineLevel="0" collapsed="false">
      <c r="A720" s="145"/>
    </row>
    <row r="721" customFormat="false" ht="15.75" hidden="false" customHeight="true" outlineLevel="0" collapsed="false">
      <c r="A721" s="145"/>
    </row>
    <row r="722" customFormat="false" ht="15.75" hidden="false" customHeight="true" outlineLevel="0" collapsed="false">
      <c r="A722" s="145"/>
    </row>
    <row r="723" customFormat="false" ht="15.75" hidden="false" customHeight="true" outlineLevel="0" collapsed="false">
      <c r="A723" s="145"/>
    </row>
    <row r="724" customFormat="false" ht="15.75" hidden="false" customHeight="true" outlineLevel="0" collapsed="false">
      <c r="A724" s="145"/>
    </row>
    <row r="725" customFormat="false" ht="15.75" hidden="false" customHeight="true" outlineLevel="0" collapsed="false">
      <c r="A725" s="145"/>
    </row>
    <row r="726" customFormat="false" ht="15.75" hidden="false" customHeight="true" outlineLevel="0" collapsed="false">
      <c r="A726" s="145"/>
    </row>
    <row r="727" customFormat="false" ht="15.75" hidden="false" customHeight="true" outlineLevel="0" collapsed="false">
      <c r="A727" s="145"/>
    </row>
    <row r="728" customFormat="false" ht="15.75" hidden="false" customHeight="true" outlineLevel="0" collapsed="false">
      <c r="A728" s="145"/>
    </row>
    <row r="729" customFormat="false" ht="15.75" hidden="false" customHeight="true" outlineLevel="0" collapsed="false">
      <c r="A729" s="145"/>
    </row>
    <row r="730" customFormat="false" ht="15.75" hidden="false" customHeight="true" outlineLevel="0" collapsed="false">
      <c r="A730" s="145"/>
    </row>
    <row r="731" customFormat="false" ht="15.75" hidden="false" customHeight="true" outlineLevel="0" collapsed="false">
      <c r="A731" s="145"/>
    </row>
    <row r="732" customFormat="false" ht="15.75" hidden="false" customHeight="true" outlineLevel="0" collapsed="false">
      <c r="A732" s="145"/>
    </row>
    <row r="733" customFormat="false" ht="15.75" hidden="false" customHeight="true" outlineLevel="0" collapsed="false">
      <c r="A733" s="145"/>
    </row>
    <row r="734" customFormat="false" ht="15.75" hidden="false" customHeight="true" outlineLevel="0" collapsed="false">
      <c r="A734" s="145"/>
    </row>
    <row r="735" customFormat="false" ht="15.75" hidden="false" customHeight="true" outlineLevel="0" collapsed="false">
      <c r="A735" s="145"/>
    </row>
    <row r="736" customFormat="false" ht="15.75" hidden="false" customHeight="true" outlineLevel="0" collapsed="false">
      <c r="A736" s="145"/>
    </row>
    <row r="737" customFormat="false" ht="15.75" hidden="false" customHeight="true" outlineLevel="0" collapsed="false">
      <c r="A737" s="145"/>
    </row>
    <row r="738" customFormat="false" ht="15.75" hidden="false" customHeight="true" outlineLevel="0" collapsed="false">
      <c r="A738" s="145"/>
    </row>
    <row r="739" customFormat="false" ht="15.75" hidden="false" customHeight="true" outlineLevel="0" collapsed="false">
      <c r="A739" s="145"/>
    </row>
    <row r="740" customFormat="false" ht="15.75" hidden="false" customHeight="true" outlineLevel="0" collapsed="false">
      <c r="A740" s="145"/>
    </row>
    <row r="741" customFormat="false" ht="15.75" hidden="false" customHeight="true" outlineLevel="0" collapsed="false">
      <c r="A741" s="145"/>
    </row>
    <row r="742" customFormat="false" ht="15.75" hidden="false" customHeight="true" outlineLevel="0" collapsed="false">
      <c r="A742" s="145"/>
    </row>
    <row r="743" customFormat="false" ht="15.75" hidden="false" customHeight="true" outlineLevel="0" collapsed="false">
      <c r="A743" s="145"/>
    </row>
    <row r="744" customFormat="false" ht="15.75" hidden="false" customHeight="true" outlineLevel="0" collapsed="false">
      <c r="A744" s="145"/>
    </row>
    <row r="745" customFormat="false" ht="15.75" hidden="false" customHeight="true" outlineLevel="0" collapsed="false">
      <c r="A745" s="145"/>
    </row>
    <row r="746" customFormat="false" ht="15.75" hidden="false" customHeight="true" outlineLevel="0" collapsed="false">
      <c r="A746" s="145"/>
    </row>
    <row r="747" customFormat="false" ht="15.75" hidden="false" customHeight="true" outlineLevel="0" collapsed="false">
      <c r="A747" s="145"/>
    </row>
    <row r="748" customFormat="false" ht="15.75" hidden="false" customHeight="true" outlineLevel="0" collapsed="false">
      <c r="A748" s="145"/>
    </row>
    <row r="749" customFormat="false" ht="15.75" hidden="false" customHeight="true" outlineLevel="0" collapsed="false">
      <c r="A749" s="145"/>
    </row>
    <row r="750" customFormat="false" ht="15.75" hidden="false" customHeight="true" outlineLevel="0" collapsed="false">
      <c r="A750" s="145"/>
    </row>
    <row r="751" customFormat="false" ht="15.75" hidden="false" customHeight="true" outlineLevel="0" collapsed="false">
      <c r="A751" s="145"/>
    </row>
    <row r="752" customFormat="false" ht="15.75" hidden="false" customHeight="true" outlineLevel="0" collapsed="false">
      <c r="A752" s="145"/>
    </row>
    <row r="753" customFormat="false" ht="15.75" hidden="false" customHeight="true" outlineLevel="0" collapsed="false">
      <c r="A753" s="145"/>
    </row>
    <row r="754" customFormat="false" ht="15.75" hidden="false" customHeight="true" outlineLevel="0" collapsed="false">
      <c r="A754" s="145"/>
    </row>
    <row r="755" customFormat="false" ht="15.75" hidden="false" customHeight="true" outlineLevel="0" collapsed="false">
      <c r="A755" s="145"/>
    </row>
    <row r="756" customFormat="false" ht="15.75" hidden="false" customHeight="true" outlineLevel="0" collapsed="false">
      <c r="A756" s="145"/>
    </row>
    <row r="757" customFormat="false" ht="15.75" hidden="false" customHeight="true" outlineLevel="0" collapsed="false">
      <c r="A757" s="145"/>
    </row>
    <row r="758" customFormat="false" ht="15.75" hidden="false" customHeight="true" outlineLevel="0" collapsed="false">
      <c r="A758" s="145"/>
    </row>
    <row r="759" customFormat="false" ht="15.75" hidden="false" customHeight="true" outlineLevel="0" collapsed="false">
      <c r="A759" s="145"/>
    </row>
    <row r="760" customFormat="false" ht="15.75" hidden="false" customHeight="true" outlineLevel="0" collapsed="false">
      <c r="A760" s="145"/>
    </row>
    <row r="761" customFormat="false" ht="15.75" hidden="false" customHeight="true" outlineLevel="0" collapsed="false">
      <c r="A761" s="145"/>
    </row>
    <row r="762" customFormat="false" ht="15.75" hidden="false" customHeight="true" outlineLevel="0" collapsed="false">
      <c r="A762" s="145"/>
    </row>
    <row r="763" customFormat="false" ht="15.75" hidden="false" customHeight="true" outlineLevel="0" collapsed="false">
      <c r="A763" s="145"/>
    </row>
    <row r="764" customFormat="false" ht="15.75" hidden="false" customHeight="true" outlineLevel="0" collapsed="false">
      <c r="A764" s="145"/>
    </row>
    <row r="765" customFormat="false" ht="15.75" hidden="false" customHeight="true" outlineLevel="0" collapsed="false">
      <c r="A765" s="145"/>
    </row>
    <row r="766" customFormat="false" ht="15.75" hidden="false" customHeight="true" outlineLevel="0" collapsed="false">
      <c r="A766" s="145"/>
    </row>
    <row r="767" customFormat="false" ht="15.75" hidden="false" customHeight="true" outlineLevel="0" collapsed="false">
      <c r="A767" s="145"/>
    </row>
    <row r="768" customFormat="false" ht="15.75" hidden="false" customHeight="true" outlineLevel="0" collapsed="false">
      <c r="A768" s="145"/>
    </row>
    <row r="769" customFormat="false" ht="15.75" hidden="false" customHeight="true" outlineLevel="0" collapsed="false">
      <c r="A769" s="145"/>
    </row>
    <row r="770" customFormat="false" ht="15.75" hidden="false" customHeight="true" outlineLevel="0" collapsed="false">
      <c r="A770" s="145"/>
    </row>
    <row r="771" customFormat="false" ht="15.75" hidden="false" customHeight="true" outlineLevel="0" collapsed="false">
      <c r="A771" s="145"/>
    </row>
    <row r="772" customFormat="false" ht="15.75" hidden="false" customHeight="true" outlineLevel="0" collapsed="false">
      <c r="A772" s="145"/>
    </row>
    <row r="773" customFormat="false" ht="15.75" hidden="false" customHeight="true" outlineLevel="0" collapsed="false">
      <c r="A773" s="145"/>
    </row>
    <row r="774" customFormat="false" ht="15.75" hidden="false" customHeight="true" outlineLevel="0" collapsed="false">
      <c r="A774" s="145"/>
    </row>
    <row r="775" customFormat="false" ht="15.75" hidden="false" customHeight="true" outlineLevel="0" collapsed="false">
      <c r="A775" s="145"/>
    </row>
    <row r="776" customFormat="false" ht="15.75" hidden="false" customHeight="true" outlineLevel="0" collapsed="false">
      <c r="A776" s="145"/>
    </row>
    <row r="777" customFormat="false" ht="15.75" hidden="false" customHeight="true" outlineLevel="0" collapsed="false">
      <c r="A777" s="145"/>
    </row>
    <row r="778" customFormat="false" ht="15.75" hidden="false" customHeight="true" outlineLevel="0" collapsed="false">
      <c r="A778" s="145"/>
    </row>
    <row r="779" customFormat="false" ht="15.75" hidden="false" customHeight="true" outlineLevel="0" collapsed="false">
      <c r="A779" s="145"/>
    </row>
    <row r="780" customFormat="false" ht="15.75" hidden="false" customHeight="true" outlineLevel="0" collapsed="false">
      <c r="A780" s="145"/>
    </row>
    <row r="781" customFormat="false" ht="15.75" hidden="false" customHeight="true" outlineLevel="0" collapsed="false">
      <c r="A781" s="145"/>
    </row>
    <row r="782" customFormat="false" ht="15.75" hidden="false" customHeight="true" outlineLevel="0" collapsed="false">
      <c r="A782" s="145"/>
    </row>
    <row r="783" customFormat="false" ht="15.75" hidden="false" customHeight="true" outlineLevel="0" collapsed="false">
      <c r="A783" s="145"/>
    </row>
    <row r="784" customFormat="false" ht="15.75" hidden="false" customHeight="true" outlineLevel="0" collapsed="false">
      <c r="A784" s="145"/>
    </row>
    <row r="785" customFormat="false" ht="15.75" hidden="false" customHeight="true" outlineLevel="0" collapsed="false">
      <c r="A785" s="145"/>
    </row>
    <row r="786" customFormat="false" ht="15.75" hidden="false" customHeight="true" outlineLevel="0" collapsed="false">
      <c r="A786" s="145"/>
    </row>
    <row r="787" customFormat="false" ht="15.75" hidden="false" customHeight="true" outlineLevel="0" collapsed="false">
      <c r="A787" s="145"/>
    </row>
    <row r="788" customFormat="false" ht="15.75" hidden="false" customHeight="true" outlineLevel="0" collapsed="false">
      <c r="A788" s="145"/>
    </row>
    <row r="789" customFormat="false" ht="15.75" hidden="false" customHeight="true" outlineLevel="0" collapsed="false">
      <c r="A789" s="145"/>
    </row>
    <row r="790" customFormat="false" ht="15.75" hidden="false" customHeight="true" outlineLevel="0" collapsed="false">
      <c r="A790" s="145"/>
    </row>
    <row r="791" customFormat="false" ht="15.75" hidden="false" customHeight="true" outlineLevel="0" collapsed="false">
      <c r="A791" s="145"/>
    </row>
    <row r="792" customFormat="false" ht="15.75" hidden="false" customHeight="true" outlineLevel="0" collapsed="false">
      <c r="A792" s="145"/>
    </row>
    <row r="793" customFormat="false" ht="15.75" hidden="false" customHeight="true" outlineLevel="0" collapsed="false">
      <c r="A793" s="145"/>
    </row>
    <row r="794" customFormat="false" ht="15.75" hidden="false" customHeight="true" outlineLevel="0" collapsed="false">
      <c r="A794" s="145"/>
    </row>
    <row r="795" customFormat="false" ht="15.75" hidden="false" customHeight="true" outlineLevel="0" collapsed="false">
      <c r="A795" s="145"/>
    </row>
    <row r="796" customFormat="false" ht="15.75" hidden="false" customHeight="true" outlineLevel="0" collapsed="false">
      <c r="A796" s="145"/>
    </row>
    <row r="797" customFormat="false" ht="15.75" hidden="false" customHeight="true" outlineLevel="0" collapsed="false">
      <c r="A797" s="145"/>
    </row>
    <row r="798" customFormat="false" ht="15.75" hidden="false" customHeight="true" outlineLevel="0" collapsed="false">
      <c r="A798" s="145"/>
    </row>
    <row r="799" customFormat="false" ht="15.75" hidden="false" customHeight="true" outlineLevel="0" collapsed="false">
      <c r="A799" s="145"/>
    </row>
    <row r="800" customFormat="false" ht="15.75" hidden="false" customHeight="true" outlineLevel="0" collapsed="false">
      <c r="A800" s="145"/>
    </row>
    <row r="801" customFormat="false" ht="15.75" hidden="false" customHeight="true" outlineLevel="0" collapsed="false">
      <c r="A801" s="145"/>
    </row>
    <row r="802" customFormat="false" ht="15.75" hidden="false" customHeight="true" outlineLevel="0" collapsed="false">
      <c r="A802" s="145"/>
    </row>
    <row r="803" customFormat="false" ht="15.75" hidden="false" customHeight="true" outlineLevel="0" collapsed="false">
      <c r="A803" s="145"/>
    </row>
    <row r="804" customFormat="false" ht="15.75" hidden="false" customHeight="true" outlineLevel="0" collapsed="false">
      <c r="A804" s="145"/>
    </row>
    <row r="805" customFormat="false" ht="15.75" hidden="false" customHeight="true" outlineLevel="0" collapsed="false">
      <c r="A805" s="145"/>
    </row>
    <row r="806" customFormat="false" ht="15.75" hidden="false" customHeight="true" outlineLevel="0" collapsed="false">
      <c r="A806" s="145"/>
    </row>
    <row r="807" customFormat="false" ht="15.75" hidden="false" customHeight="true" outlineLevel="0" collapsed="false">
      <c r="A807" s="145"/>
    </row>
    <row r="808" customFormat="false" ht="15.75" hidden="false" customHeight="true" outlineLevel="0" collapsed="false">
      <c r="A808" s="145"/>
    </row>
    <row r="809" customFormat="false" ht="15.75" hidden="false" customHeight="true" outlineLevel="0" collapsed="false">
      <c r="A809" s="145"/>
    </row>
    <row r="810" customFormat="false" ht="15.75" hidden="false" customHeight="true" outlineLevel="0" collapsed="false">
      <c r="A810" s="145"/>
    </row>
    <row r="811" customFormat="false" ht="15.75" hidden="false" customHeight="true" outlineLevel="0" collapsed="false">
      <c r="A811" s="145"/>
    </row>
    <row r="812" customFormat="false" ht="15.75" hidden="false" customHeight="true" outlineLevel="0" collapsed="false">
      <c r="A812" s="145"/>
    </row>
    <row r="813" customFormat="false" ht="15.75" hidden="false" customHeight="true" outlineLevel="0" collapsed="false">
      <c r="A813" s="145"/>
    </row>
    <row r="814" customFormat="false" ht="15.75" hidden="false" customHeight="true" outlineLevel="0" collapsed="false">
      <c r="A814" s="145"/>
    </row>
    <row r="815" customFormat="false" ht="15.75" hidden="false" customHeight="true" outlineLevel="0" collapsed="false">
      <c r="A815" s="145"/>
    </row>
    <row r="816" customFormat="false" ht="15.75" hidden="false" customHeight="true" outlineLevel="0" collapsed="false">
      <c r="A816" s="145"/>
    </row>
    <row r="817" customFormat="false" ht="15.75" hidden="false" customHeight="true" outlineLevel="0" collapsed="false">
      <c r="A817" s="145"/>
    </row>
    <row r="818" customFormat="false" ht="15.75" hidden="false" customHeight="true" outlineLevel="0" collapsed="false">
      <c r="A818" s="145"/>
    </row>
    <row r="819" customFormat="false" ht="15.75" hidden="false" customHeight="true" outlineLevel="0" collapsed="false">
      <c r="A819" s="145"/>
    </row>
    <row r="820" customFormat="false" ht="15.75" hidden="false" customHeight="true" outlineLevel="0" collapsed="false">
      <c r="A820" s="145"/>
    </row>
    <row r="821" customFormat="false" ht="15.75" hidden="false" customHeight="true" outlineLevel="0" collapsed="false">
      <c r="A821" s="145"/>
    </row>
    <row r="822" customFormat="false" ht="15.75" hidden="false" customHeight="true" outlineLevel="0" collapsed="false">
      <c r="A822" s="145"/>
    </row>
    <row r="823" customFormat="false" ht="15.75" hidden="false" customHeight="true" outlineLevel="0" collapsed="false">
      <c r="A823" s="145"/>
    </row>
    <row r="824" customFormat="false" ht="15.75" hidden="false" customHeight="true" outlineLevel="0" collapsed="false">
      <c r="A824" s="145"/>
    </row>
    <row r="825" customFormat="false" ht="15.75" hidden="false" customHeight="true" outlineLevel="0" collapsed="false">
      <c r="A825" s="145"/>
    </row>
    <row r="826" customFormat="false" ht="15.75" hidden="false" customHeight="true" outlineLevel="0" collapsed="false">
      <c r="A826" s="145"/>
    </row>
    <row r="827" customFormat="false" ht="15.75" hidden="false" customHeight="true" outlineLevel="0" collapsed="false">
      <c r="A827" s="145"/>
    </row>
    <row r="828" customFormat="false" ht="15.75" hidden="false" customHeight="true" outlineLevel="0" collapsed="false">
      <c r="A828" s="145"/>
    </row>
    <row r="829" customFormat="false" ht="15.75" hidden="false" customHeight="true" outlineLevel="0" collapsed="false">
      <c r="A829" s="145"/>
    </row>
    <row r="830" customFormat="false" ht="15.75" hidden="false" customHeight="true" outlineLevel="0" collapsed="false">
      <c r="A830" s="145"/>
    </row>
    <row r="831" customFormat="false" ht="15.75" hidden="false" customHeight="true" outlineLevel="0" collapsed="false">
      <c r="A831" s="145"/>
    </row>
    <row r="832" customFormat="false" ht="15.75" hidden="false" customHeight="true" outlineLevel="0" collapsed="false">
      <c r="A832" s="145"/>
    </row>
    <row r="833" customFormat="false" ht="15.75" hidden="false" customHeight="true" outlineLevel="0" collapsed="false">
      <c r="A833" s="145"/>
    </row>
    <row r="834" customFormat="false" ht="15.75" hidden="false" customHeight="true" outlineLevel="0" collapsed="false">
      <c r="A834" s="145"/>
    </row>
    <row r="835" customFormat="false" ht="15.75" hidden="false" customHeight="true" outlineLevel="0" collapsed="false">
      <c r="A835" s="145"/>
    </row>
    <row r="836" customFormat="false" ht="15.75" hidden="false" customHeight="true" outlineLevel="0" collapsed="false">
      <c r="A836" s="145"/>
    </row>
    <row r="837" customFormat="false" ht="15.75" hidden="false" customHeight="true" outlineLevel="0" collapsed="false">
      <c r="A837" s="145"/>
    </row>
    <row r="838" customFormat="false" ht="15.75" hidden="false" customHeight="true" outlineLevel="0" collapsed="false">
      <c r="A838" s="145"/>
    </row>
    <row r="839" customFormat="false" ht="15.75" hidden="false" customHeight="true" outlineLevel="0" collapsed="false">
      <c r="A839" s="145"/>
    </row>
    <row r="840" customFormat="false" ht="15.75" hidden="false" customHeight="true" outlineLevel="0" collapsed="false">
      <c r="A840" s="145"/>
    </row>
    <row r="841" customFormat="false" ht="15.75" hidden="false" customHeight="true" outlineLevel="0" collapsed="false">
      <c r="A841" s="145"/>
    </row>
    <row r="842" customFormat="false" ht="15.75" hidden="false" customHeight="true" outlineLevel="0" collapsed="false">
      <c r="A842" s="145"/>
    </row>
    <row r="843" customFormat="false" ht="15.75" hidden="false" customHeight="true" outlineLevel="0" collapsed="false">
      <c r="A843" s="145"/>
    </row>
    <row r="844" customFormat="false" ht="15.75" hidden="false" customHeight="true" outlineLevel="0" collapsed="false">
      <c r="A844" s="145"/>
    </row>
    <row r="845" customFormat="false" ht="15.75" hidden="false" customHeight="true" outlineLevel="0" collapsed="false">
      <c r="A845" s="145"/>
    </row>
    <row r="846" customFormat="false" ht="15.75" hidden="false" customHeight="true" outlineLevel="0" collapsed="false">
      <c r="A846" s="145"/>
    </row>
    <row r="847" customFormat="false" ht="15.75" hidden="false" customHeight="true" outlineLevel="0" collapsed="false">
      <c r="A847" s="145"/>
    </row>
    <row r="848" customFormat="false" ht="15.75" hidden="false" customHeight="true" outlineLevel="0" collapsed="false">
      <c r="A848" s="145"/>
    </row>
    <row r="849" customFormat="false" ht="15.75" hidden="false" customHeight="true" outlineLevel="0" collapsed="false">
      <c r="A849" s="145"/>
    </row>
    <row r="850" customFormat="false" ht="15.75" hidden="false" customHeight="true" outlineLevel="0" collapsed="false">
      <c r="A850" s="145"/>
    </row>
    <row r="851" customFormat="false" ht="15.75" hidden="false" customHeight="true" outlineLevel="0" collapsed="false">
      <c r="A851" s="145"/>
    </row>
    <row r="852" customFormat="false" ht="15.75" hidden="false" customHeight="true" outlineLevel="0" collapsed="false">
      <c r="A852" s="145"/>
    </row>
    <row r="853" customFormat="false" ht="15.75" hidden="false" customHeight="true" outlineLevel="0" collapsed="false">
      <c r="A853" s="145"/>
    </row>
    <row r="854" customFormat="false" ht="15.75" hidden="false" customHeight="true" outlineLevel="0" collapsed="false">
      <c r="A854" s="145"/>
    </row>
    <row r="855" customFormat="false" ht="15.75" hidden="false" customHeight="true" outlineLevel="0" collapsed="false">
      <c r="A855" s="145"/>
    </row>
    <row r="856" customFormat="false" ht="15.75" hidden="false" customHeight="true" outlineLevel="0" collapsed="false">
      <c r="A856" s="145"/>
    </row>
    <row r="857" customFormat="false" ht="15.75" hidden="false" customHeight="true" outlineLevel="0" collapsed="false">
      <c r="A857" s="145"/>
    </row>
    <row r="858" customFormat="false" ht="15.75" hidden="false" customHeight="true" outlineLevel="0" collapsed="false">
      <c r="A858" s="145"/>
    </row>
    <row r="859" customFormat="false" ht="15.75" hidden="false" customHeight="true" outlineLevel="0" collapsed="false">
      <c r="A859" s="145"/>
    </row>
    <row r="860" customFormat="false" ht="15.75" hidden="false" customHeight="true" outlineLevel="0" collapsed="false">
      <c r="A860" s="145"/>
    </row>
    <row r="861" customFormat="false" ht="15.75" hidden="false" customHeight="true" outlineLevel="0" collapsed="false">
      <c r="A861" s="145"/>
    </row>
    <row r="862" customFormat="false" ht="15.75" hidden="false" customHeight="true" outlineLevel="0" collapsed="false">
      <c r="A862" s="145"/>
    </row>
    <row r="863" customFormat="false" ht="15.75" hidden="false" customHeight="true" outlineLevel="0" collapsed="false">
      <c r="A863" s="145"/>
    </row>
    <row r="864" customFormat="false" ht="15.75" hidden="false" customHeight="true" outlineLevel="0" collapsed="false">
      <c r="A864" s="145"/>
    </row>
    <row r="865" customFormat="false" ht="15.75" hidden="false" customHeight="true" outlineLevel="0" collapsed="false">
      <c r="A865" s="145"/>
    </row>
    <row r="866" customFormat="false" ht="15.75" hidden="false" customHeight="true" outlineLevel="0" collapsed="false">
      <c r="A866" s="145"/>
    </row>
    <row r="867" customFormat="false" ht="15.75" hidden="false" customHeight="true" outlineLevel="0" collapsed="false">
      <c r="A867" s="145"/>
    </row>
    <row r="868" customFormat="false" ht="15.75" hidden="false" customHeight="true" outlineLevel="0" collapsed="false">
      <c r="A868" s="145"/>
    </row>
    <row r="869" customFormat="false" ht="15.75" hidden="false" customHeight="true" outlineLevel="0" collapsed="false">
      <c r="A869" s="145"/>
    </row>
    <row r="870" customFormat="false" ht="15.75" hidden="false" customHeight="true" outlineLevel="0" collapsed="false">
      <c r="A870" s="145"/>
    </row>
    <row r="871" customFormat="false" ht="15.75" hidden="false" customHeight="true" outlineLevel="0" collapsed="false">
      <c r="A871" s="145"/>
    </row>
    <row r="872" customFormat="false" ht="15.75" hidden="false" customHeight="true" outlineLevel="0" collapsed="false">
      <c r="A872" s="145"/>
    </row>
    <row r="873" customFormat="false" ht="15.75" hidden="false" customHeight="true" outlineLevel="0" collapsed="false">
      <c r="A873" s="145"/>
    </row>
    <row r="874" customFormat="false" ht="15.75" hidden="false" customHeight="true" outlineLevel="0" collapsed="false">
      <c r="A874" s="145"/>
    </row>
    <row r="875" customFormat="false" ht="15.75" hidden="false" customHeight="true" outlineLevel="0" collapsed="false">
      <c r="A875" s="145"/>
    </row>
    <row r="876" customFormat="false" ht="15.75" hidden="false" customHeight="true" outlineLevel="0" collapsed="false">
      <c r="A876" s="145"/>
    </row>
    <row r="877" customFormat="false" ht="15.75" hidden="false" customHeight="true" outlineLevel="0" collapsed="false">
      <c r="A877" s="145"/>
    </row>
    <row r="878" customFormat="false" ht="15.75" hidden="false" customHeight="true" outlineLevel="0" collapsed="false">
      <c r="A878" s="145"/>
    </row>
    <row r="879" customFormat="false" ht="15.75" hidden="false" customHeight="true" outlineLevel="0" collapsed="false">
      <c r="A879" s="145"/>
    </row>
    <row r="880" customFormat="false" ht="15.75" hidden="false" customHeight="true" outlineLevel="0" collapsed="false">
      <c r="A880" s="145"/>
    </row>
    <row r="881" customFormat="false" ht="15.75" hidden="false" customHeight="true" outlineLevel="0" collapsed="false">
      <c r="A881" s="145"/>
    </row>
    <row r="882" customFormat="false" ht="15.75" hidden="false" customHeight="true" outlineLevel="0" collapsed="false">
      <c r="A882" s="145"/>
    </row>
    <row r="883" customFormat="false" ht="15.75" hidden="false" customHeight="true" outlineLevel="0" collapsed="false">
      <c r="A883" s="145"/>
    </row>
    <row r="884" customFormat="false" ht="15.75" hidden="false" customHeight="true" outlineLevel="0" collapsed="false">
      <c r="A884" s="145"/>
    </row>
    <row r="885" customFormat="false" ht="15.75" hidden="false" customHeight="true" outlineLevel="0" collapsed="false">
      <c r="A885" s="145"/>
    </row>
    <row r="886" customFormat="false" ht="15.75" hidden="false" customHeight="true" outlineLevel="0" collapsed="false">
      <c r="A886" s="145"/>
    </row>
    <row r="887" customFormat="false" ht="15.75" hidden="false" customHeight="true" outlineLevel="0" collapsed="false">
      <c r="A887" s="145"/>
    </row>
    <row r="888" customFormat="false" ht="15.75" hidden="false" customHeight="true" outlineLevel="0" collapsed="false">
      <c r="A888" s="145"/>
    </row>
    <row r="889" customFormat="false" ht="15.75" hidden="false" customHeight="true" outlineLevel="0" collapsed="false">
      <c r="A889" s="145"/>
    </row>
    <row r="890" customFormat="false" ht="15.75" hidden="false" customHeight="true" outlineLevel="0" collapsed="false">
      <c r="A890" s="145"/>
    </row>
    <row r="891" customFormat="false" ht="15.75" hidden="false" customHeight="true" outlineLevel="0" collapsed="false">
      <c r="A891" s="145"/>
    </row>
    <row r="892" customFormat="false" ht="15.75" hidden="false" customHeight="true" outlineLevel="0" collapsed="false">
      <c r="A892" s="145"/>
    </row>
    <row r="893" customFormat="false" ht="15.75" hidden="false" customHeight="true" outlineLevel="0" collapsed="false">
      <c r="A893" s="145"/>
    </row>
    <row r="894" customFormat="false" ht="15.75" hidden="false" customHeight="true" outlineLevel="0" collapsed="false">
      <c r="A894" s="145"/>
    </row>
    <row r="895" customFormat="false" ht="15.75" hidden="false" customHeight="true" outlineLevel="0" collapsed="false">
      <c r="A895" s="145"/>
    </row>
    <row r="896" customFormat="false" ht="15.75" hidden="false" customHeight="true" outlineLevel="0" collapsed="false">
      <c r="A896" s="145"/>
    </row>
    <row r="897" customFormat="false" ht="15.75" hidden="false" customHeight="true" outlineLevel="0" collapsed="false">
      <c r="A897" s="145"/>
    </row>
    <row r="898" customFormat="false" ht="15.75" hidden="false" customHeight="true" outlineLevel="0" collapsed="false">
      <c r="A898" s="145"/>
    </row>
    <row r="899" customFormat="false" ht="15.75" hidden="false" customHeight="true" outlineLevel="0" collapsed="false">
      <c r="A899" s="145"/>
    </row>
    <row r="900" customFormat="false" ht="15.75" hidden="false" customHeight="true" outlineLevel="0" collapsed="false">
      <c r="A900" s="145"/>
    </row>
    <row r="901" customFormat="false" ht="15.75" hidden="false" customHeight="true" outlineLevel="0" collapsed="false">
      <c r="A901" s="145"/>
    </row>
    <row r="902" customFormat="false" ht="15.75" hidden="false" customHeight="true" outlineLevel="0" collapsed="false">
      <c r="A902" s="145"/>
    </row>
    <row r="903" customFormat="false" ht="15.75" hidden="false" customHeight="true" outlineLevel="0" collapsed="false">
      <c r="A903" s="145"/>
    </row>
    <row r="904" customFormat="false" ht="15.75" hidden="false" customHeight="true" outlineLevel="0" collapsed="false">
      <c r="A904" s="145"/>
    </row>
    <row r="905" customFormat="false" ht="15.75" hidden="false" customHeight="true" outlineLevel="0" collapsed="false">
      <c r="A905" s="145"/>
    </row>
    <row r="906" customFormat="false" ht="15.75" hidden="false" customHeight="true" outlineLevel="0" collapsed="false">
      <c r="A906" s="145"/>
    </row>
    <row r="907" customFormat="false" ht="15.75" hidden="false" customHeight="true" outlineLevel="0" collapsed="false">
      <c r="A907" s="145"/>
    </row>
    <row r="908" customFormat="false" ht="15.75" hidden="false" customHeight="true" outlineLevel="0" collapsed="false">
      <c r="A908" s="145"/>
    </row>
    <row r="909" customFormat="false" ht="15.75" hidden="false" customHeight="true" outlineLevel="0" collapsed="false">
      <c r="A909" s="145"/>
    </row>
    <row r="910" customFormat="false" ht="15.75" hidden="false" customHeight="true" outlineLevel="0" collapsed="false">
      <c r="A910" s="145"/>
    </row>
    <row r="911" customFormat="false" ht="15.75" hidden="false" customHeight="true" outlineLevel="0" collapsed="false">
      <c r="A911" s="145"/>
    </row>
    <row r="912" customFormat="false" ht="15.75" hidden="false" customHeight="true" outlineLevel="0" collapsed="false">
      <c r="A912" s="145"/>
    </row>
    <row r="913" customFormat="false" ht="15.75" hidden="false" customHeight="true" outlineLevel="0" collapsed="false">
      <c r="A913" s="145"/>
    </row>
    <row r="914" customFormat="false" ht="15.75" hidden="false" customHeight="true" outlineLevel="0" collapsed="false">
      <c r="A914" s="145"/>
    </row>
    <row r="915" customFormat="false" ht="15.75" hidden="false" customHeight="true" outlineLevel="0" collapsed="false">
      <c r="A915" s="145"/>
    </row>
    <row r="916" customFormat="false" ht="15.75" hidden="false" customHeight="true" outlineLevel="0" collapsed="false">
      <c r="A916" s="145"/>
    </row>
    <row r="917" customFormat="false" ht="15.75" hidden="false" customHeight="true" outlineLevel="0" collapsed="false">
      <c r="A917" s="145"/>
    </row>
    <row r="918" customFormat="false" ht="15.75" hidden="false" customHeight="true" outlineLevel="0" collapsed="false">
      <c r="A918" s="145"/>
    </row>
    <row r="919" customFormat="false" ht="15.75" hidden="false" customHeight="true" outlineLevel="0" collapsed="false">
      <c r="A919" s="145"/>
    </row>
    <row r="920" customFormat="false" ht="15.75" hidden="false" customHeight="true" outlineLevel="0" collapsed="false">
      <c r="A920" s="145"/>
    </row>
    <row r="921" customFormat="false" ht="15.75" hidden="false" customHeight="true" outlineLevel="0" collapsed="false">
      <c r="A921" s="145"/>
    </row>
    <row r="922" customFormat="false" ht="15.75" hidden="false" customHeight="true" outlineLevel="0" collapsed="false">
      <c r="A922" s="145"/>
    </row>
    <row r="923" customFormat="false" ht="15.75" hidden="false" customHeight="true" outlineLevel="0" collapsed="false">
      <c r="A923" s="145"/>
    </row>
    <row r="924" customFormat="false" ht="15.75" hidden="false" customHeight="true" outlineLevel="0" collapsed="false">
      <c r="A924" s="145"/>
    </row>
    <row r="925" customFormat="false" ht="15.75" hidden="false" customHeight="true" outlineLevel="0" collapsed="false">
      <c r="A925" s="145"/>
    </row>
    <row r="926" customFormat="false" ht="15.75" hidden="false" customHeight="true" outlineLevel="0" collapsed="false">
      <c r="A926" s="145"/>
    </row>
    <row r="927" customFormat="false" ht="15.75" hidden="false" customHeight="true" outlineLevel="0" collapsed="false">
      <c r="A927" s="145"/>
    </row>
    <row r="928" customFormat="false" ht="15.75" hidden="false" customHeight="true" outlineLevel="0" collapsed="false">
      <c r="A928" s="145"/>
    </row>
    <row r="929" customFormat="false" ht="15.75" hidden="false" customHeight="true" outlineLevel="0" collapsed="false">
      <c r="A929" s="145"/>
    </row>
    <row r="930" customFormat="false" ht="15.75" hidden="false" customHeight="true" outlineLevel="0" collapsed="false">
      <c r="A930" s="145"/>
    </row>
    <row r="931" customFormat="false" ht="15.75" hidden="false" customHeight="true" outlineLevel="0" collapsed="false">
      <c r="A931" s="145"/>
    </row>
    <row r="932" customFormat="false" ht="15.75" hidden="false" customHeight="true" outlineLevel="0" collapsed="false">
      <c r="A932" s="145"/>
    </row>
    <row r="933" customFormat="false" ht="15.75" hidden="false" customHeight="true" outlineLevel="0" collapsed="false">
      <c r="A933" s="145"/>
    </row>
    <row r="934" customFormat="false" ht="15.75" hidden="false" customHeight="true" outlineLevel="0" collapsed="false">
      <c r="A934" s="145"/>
    </row>
    <row r="935" customFormat="false" ht="15.75" hidden="false" customHeight="true" outlineLevel="0" collapsed="false">
      <c r="A935" s="145"/>
    </row>
    <row r="936" customFormat="false" ht="15.75" hidden="false" customHeight="true" outlineLevel="0" collapsed="false">
      <c r="A936" s="145"/>
    </row>
    <row r="937" customFormat="false" ht="15.75" hidden="false" customHeight="true" outlineLevel="0" collapsed="false">
      <c r="A937" s="145"/>
    </row>
    <row r="938" customFormat="false" ht="15.75" hidden="false" customHeight="true" outlineLevel="0" collapsed="false">
      <c r="A938" s="145"/>
    </row>
    <row r="939" customFormat="false" ht="15.75" hidden="false" customHeight="true" outlineLevel="0" collapsed="false">
      <c r="A939" s="145"/>
    </row>
    <row r="940" customFormat="false" ht="15.75" hidden="false" customHeight="true" outlineLevel="0" collapsed="false">
      <c r="A940" s="145"/>
    </row>
    <row r="941" customFormat="false" ht="15.75" hidden="false" customHeight="true" outlineLevel="0" collapsed="false">
      <c r="A941" s="145"/>
    </row>
    <row r="942" customFormat="false" ht="15.75" hidden="false" customHeight="true" outlineLevel="0" collapsed="false">
      <c r="A942" s="145"/>
    </row>
    <row r="943" customFormat="false" ht="15.75" hidden="false" customHeight="true" outlineLevel="0" collapsed="false">
      <c r="A943" s="145"/>
    </row>
    <row r="944" customFormat="false" ht="15.75" hidden="false" customHeight="true" outlineLevel="0" collapsed="false">
      <c r="A944" s="145"/>
    </row>
    <row r="945" customFormat="false" ht="15.75" hidden="false" customHeight="true" outlineLevel="0" collapsed="false">
      <c r="A945" s="145"/>
    </row>
    <row r="946" customFormat="false" ht="15.75" hidden="false" customHeight="true" outlineLevel="0" collapsed="false">
      <c r="A946" s="145"/>
    </row>
    <row r="947" customFormat="false" ht="15.75" hidden="false" customHeight="true" outlineLevel="0" collapsed="false">
      <c r="A947" s="145"/>
    </row>
    <row r="948" customFormat="false" ht="15.75" hidden="false" customHeight="true" outlineLevel="0" collapsed="false">
      <c r="A948" s="145"/>
    </row>
    <row r="949" customFormat="false" ht="15.75" hidden="false" customHeight="true" outlineLevel="0" collapsed="false">
      <c r="A949" s="145"/>
    </row>
    <row r="950" customFormat="false" ht="15.75" hidden="false" customHeight="true" outlineLevel="0" collapsed="false">
      <c r="A950" s="145"/>
    </row>
    <row r="951" customFormat="false" ht="15.75" hidden="false" customHeight="true" outlineLevel="0" collapsed="false">
      <c r="A951" s="145"/>
    </row>
    <row r="952" customFormat="false" ht="15.75" hidden="false" customHeight="true" outlineLevel="0" collapsed="false">
      <c r="A952" s="145"/>
    </row>
    <row r="953" customFormat="false" ht="15.75" hidden="false" customHeight="true" outlineLevel="0" collapsed="false">
      <c r="A953" s="145"/>
    </row>
    <row r="954" customFormat="false" ht="15.75" hidden="false" customHeight="true" outlineLevel="0" collapsed="false">
      <c r="A954" s="145"/>
    </row>
    <row r="955" customFormat="false" ht="15.75" hidden="false" customHeight="true" outlineLevel="0" collapsed="false">
      <c r="A955" s="145"/>
    </row>
    <row r="956" customFormat="false" ht="15.75" hidden="false" customHeight="true" outlineLevel="0" collapsed="false">
      <c r="A956" s="145"/>
    </row>
    <row r="957" customFormat="false" ht="15.75" hidden="false" customHeight="true" outlineLevel="0" collapsed="false">
      <c r="A957" s="145"/>
    </row>
    <row r="958" customFormat="false" ht="15.75" hidden="false" customHeight="true" outlineLevel="0" collapsed="false">
      <c r="A958" s="145"/>
    </row>
    <row r="959" customFormat="false" ht="15.75" hidden="false" customHeight="true" outlineLevel="0" collapsed="false">
      <c r="A959" s="145"/>
    </row>
    <row r="960" customFormat="false" ht="15.75" hidden="false" customHeight="true" outlineLevel="0" collapsed="false">
      <c r="A960" s="145"/>
    </row>
    <row r="961" customFormat="false" ht="15.75" hidden="false" customHeight="true" outlineLevel="0" collapsed="false">
      <c r="A961" s="145"/>
    </row>
    <row r="962" customFormat="false" ht="15.75" hidden="false" customHeight="true" outlineLevel="0" collapsed="false">
      <c r="A962" s="145"/>
    </row>
    <row r="963" customFormat="false" ht="15.75" hidden="false" customHeight="true" outlineLevel="0" collapsed="false">
      <c r="A963" s="145"/>
    </row>
    <row r="964" customFormat="false" ht="15.75" hidden="false" customHeight="true" outlineLevel="0" collapsed="false">
      <c r="A964" s="145"/>
    </row>
    <row r="965" customFormat="false" ht="15.75" hidden="false" customHeight="true" outlineLevel="0" collapsed="false">
      <c r="A965" s="145"/>
    </row>
    <row r="966" customFormat="false" ht="15.75" hidden="false" customHeight="true" outlineLevel="0" collapsed="false">
      <c r="A966" s="145"/>
    </row>
    <row r="967" customFormat="false" ht="15.75" hidden="false" customHeight="true" outlineLevel="0" collapsed="false">
      <c r="A967" s="145"/>
    </row>
    <row r="968" customFormat="false" ht="15.75" hidden="false" customHeight="true" outlineLevel="0" collapsed="false">
      <c r="A968" s="145"/>
    </row>
    <row r="969" customFormat="false" ht="15.75" hidden="false" customHeight="true" outlineLevel="0" collapsed="false">
      <c r="A969" s="145"/>
    </row>
    <row r="970" customFormat="false" ht="15.75" hidden="false" customHeight="true" outlineLevel="0" collapsed="false">
      <c r="A970" s="145"/>
    </row>
    <row r="971" customFormat="false" ht="15.75" hidden="false" customHeight="true" outlineLevel="0" collapsed="false">
      <c r="A971" s="145"/>
    </row>
    <row r="972" customFormat="false" ht="15.75" hidden="false" customHeight="true" outlineLevel="0" collapsed="false">
      <c r="A972" s="145"/>
    </row>
    <row r="973" customFormat="false" ht="15.75" hidden="false" customHeight="true" outlineLevel="0" collapsed="false">
      <c r="A973" s="145"/>
    </row>
    <row r="974" customFormat="false" ht="15.75" hidden="false" customHeight="true" outlineLevel="0" collapsed="false">
      <c r="A974" s="145"/>
    </row>
    <row r="975" customFormat="false" ht="15.75" hidden="false" customHeight="true" outlineLevel="0" collapsed="false">
      <c r="A975" s="145"/>
    </row>
    <row r="976" customFormat="false" ht="15.75" hidden="false" customHeight="true" outlineLevel="0" collapsed="false">
      <c r="A976" s="145"/>
    </row>
    <row r="977" customFormat="false" ht="15.75" hidden="false" customHeight="true" outlineLevel="0" collapsed="false">
      <c r="A977" s="145"/>
    </row>
    <row r="978" customFormat="false" ht="15.75" hidden="false" customHeight="true" outlineLevel="0" collapsed="false">
      <c r="A978" s="145"/>
    </row>
    <row r="979" customFormat="false" ht="15.75" hidden="false" customHeight="true" outlineLevel="0" collapsed="false">
      <c r="A979" s="145"/>
    </row>
  </sheetData>
  <autoFilter ref="A7:AI196"/>
  <mergeCells count="167">
    <mergeCell ref="H2:L2"/>
    <mergeCell ref="V2:W2"/>
    <mergeCell ref="B3:B5"/>
    <mergeCell ref="E3:E4"/>
    <mergeCell ref="Q3:AG3"/>
    <mergeCell ref="C221:N221"/>
    <mergeCell ref="C222:N222"/>
    <mergeCell ref="C223:N223"/>
    <mergeCell ref="C224:N224"/>
    <mergeCell ref="C225:N225"/>
    <mergeCell ref="C233:N233"/>
    <mergeCell ref="C234:N234"/>
    <mergeCell ref="C235:N235"/>
    <mergeCell ref="C236:N236"/>
    <mergeCell ref="C237:N237"/>
    <mergeCell ref="C238:N238"/>
    <mergeCell ref="C239:N239"/>
    <mergeCell ref="C240:N240"/>
    <mergeCell ref="C247:N247"/>
    <mergeCell ref="C248:N248"/>
    <mergeCell ref="C249:N249"/>
    <mergeCell ref="C250:N250"/>
    <mergeCell ref="C251:N251"/>
    <mergeCell ref="C252:N252"/>
    <mergeCell ref="C253:N253"/>
    <mergeCell ref="C254:N254"/>
    <mergeCell ref="C255:N255"/>
    <mergeCell ref="C256:N256"/>
    <mergeCell ref="C257:N257"/>
    <mergeCell ref="C258:N258"/>
    <mergeCell ref="C259:N259"/>
    <mergeCell ref="C260:N260"/>
    <mergeCell ref="C261:N261"/>
    <mergeCell ref="C262:N262"/>
    <mergeCell ref="C263:N263"/>
    <mergeCell ref="C264:N264"/>
    <mergeCell ref="C265:N265"/>
    <mergeCell ref="C266:N266"/>
    <mergeCell ref="C267:N267"/>
    <mergeCell ref="C268:N268"/>
    <mergeCell ref="C269:N269"/>
    <mergeCell ref="C270:N270"/>
    <mergeCell ref="C271:N271"/>
    <mergeCell ref="C272:N272"/>
    <mergeCell ref="C273:N273"/>
    <mergeCell ref="C274:N274"/>
    <mergeCell ref="C275:N275"/>
    <mergeCell ref="C276:N276"/>
    <mergeCell ref="C277:N277"/>
    <mergeCell ref="C278:N278"/>
    <mergeCell ref="C279:N279"/>
    <mergeCell ref="C280:N280"/>
    <mergeCell ref="C281:N281"/>
    <mergeCell ref="C282:N282"/>
    <mergeCell ref="C283:N283"/>
    <mergeCell ref="C284:N284"/>
    <mergeCell ref="C285:N285"/>
    <mergeCell ref="C286:N286"/>
    <mergeCell ref="C287:N287"/>
    <mergeCell ref="C288:N288"/>
    <mergeCell ref="C289:N289"/>
    <mergeCell ref="C290:N290"/>
    <mergeCell ref="C291:N291"/>
    <mergeCell ref="C292:N292"/>
    <mergeCell ref="C297:N297"/>
    <mergeCell ref="C298:N298"/>
    <mergeCell ref="C299:N299"/>
    <mergeCell ref="C300:N300"/>
    <mergeCell ref="C301:N301"/>
    <mergeCell ref="C302:N302"/>
    <mergeCell ref="C303:N303"/>
    <mergeCell ref="C304:N304"/>
    <mergeCell ref="C305:N305"/>
    <mergeCell ref="C306:N306"/>
    <mergeCell ref="C307:N307"/>
    <mergeCell ref="C308:N308"/>
    <mergeCell ref="C309:N309"/>
    <mergeCell ref="C310:N310"/>
    <mergeCell ref="C311:N311"/>
    <mergeCell ref="C312:N312"/>
    <mergeCell ref="C313:N313"/>
    <mergeCell ref="C314:N314"/>
    <mergeCell ref="C315:N315"/>
    <mergeCell ref="C316:N316"/>
    <mergeCell ref="C317:N317"/>
    <mergeCell ref="C318:N318"/>
    <mergeCell ref="C319:N319"/>
    <mergeCell ref="C320:N320"/>
    <mergeCell ref="C321:N321"/>
    <mergeCell ref="C322:N322"/>
    <mergeCell ref="C323:N323"/>
    <mergeCell ref="C324:N324"/>
    <mergeCell ref="C325:N325"/>
    <mergeCell ref="C326:N326"/>
    <mergeCell ref="C327:N327"/>
    <mergeCell ref="C328:N328"/>
    <mergeCell ref="C329:N329"/>
    <mergeCell ref="C330:N330"/>
    <mergeCell ref="C331:N331"/>
    <mergeCell ref="C332:N332"/>
    <mergeCell ref="C333:N333"/>
    <mergeCell ref="C334:N334"/>
    <mergeCell ref="C335:N335"/>
    <mergeCell ref="C336:N336"/>
    <mergeCell ref="C337:N337"/>
    <mergeCell ref="C343:N343"/>
    <mergeCell ref="C344:N344"/>
    <mergeCell ref="C345:N345"/>
    <mergeCell ref="C346:N346"/>
    <mergeCell ref="C347:N347"/>
    <mergeCell ref="C348:N348"/>
    <mergeCell ref="C349:N349"/>
    <mergeCell ref="C350:N350"/>
    <mergeCell ref="C351:N351"/>
    <mergeCell ref="C352:N352"/>
    <mergeCell ref="C353:N353"/>
    <mergeCell ref="C354:N354"/>
    <mergeCell ref="C355:N355"/>
    <mergeCell ref="C356:N356"/>
    <mergeCell ref="C357:N357"/>
    <mergeCell ref="C358:N358"/>
    <mergeCell ref="C359:N359"/>
    <mergeCell ref="C360:N360"/>
    <mergeCell ref="C361:N361"/>
    <mergeCell ref="C362:N362"/>
    <mergeCell ref="C363:N363"/>
    <mergeCell ref="C364:N364"/>
    <mergeCell ref="C365:N365"/>
    <mergeCell ref="C366:N366"/>
    <mergeCell ref="C367:N367"/>
    <mergeCell ref="C368:N368"/>
    <mergeCell ref="C369:N369"/>
    <mergeCell ref="C374:N374"/>
    <mergeCell ref="C375:N375"/>
    <mergeCell ref="C376:N376"/>
    <mergeCell ref="C377:N377"/>
    <mergeCell ref="C378:N378"/>
    <mergeCell ref="C379:N379"/>
    <mergeCell ref="C380:N380"/>
    <mergeCell ref="C381:N381"/>
    <mergeCell ref="C382:N382"/>
    <mergeCell ref="C383:N383"/>
    <mergeCell ref="C384:N384"/>
    <mergeCell ref="C385:N385"/>
    <mergeCell ref="C386:N386"/>
    <mergeCell ref="C387:N387"/>
    <mergeCell ref="C388:N388"/>
    <mergeCell ref="C389:N389"/>
    <mergeCell ref="C390:N390"/>
    <mergeCell ref="C395:N395"/>
    <mergeCell ref="C396:N396"/>
    <mergeCell ref="C397:N397"/>
    <mergeCell ref="C398:N398"/>
    <mergeCell ref="C399:N399"/>
    <mergeCell ref="C400:N400"/>
    <mergeCell ref="C401:N401"/>
    <mergeCell ref="C402:N402"/>
    <mergeCell ref="C403:N403"/>
    <mergeCell ref="C404:N404"/>
    <mergeCell ref="C405:N405"/>
    <mergeCell ref="C406:N406"/>
    <mergeCell ref="C407:N407"/>
    <mergeCell ref="C408:N408"/>
    <mergeCell ref="C409:N409"/>
    <mergeCell ref="C410:N410"/>
    <mergeCell ref="C411:N411"/>
    <mergeCell ref="C412:N41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2026-01-08T20:14:33Z</dcterms:created>
  <dc:creator>Financeiro Rigatti</dc:creator>
  <dc:description/>
  <dc:language>pt-BR</dc:language>
  <cp:lastModifiedBy/>
  <dcterms:modified xsi:type="dcterms:W3CDTF">2026-02-09T10:26:53Z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